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mpt列表" sheetId="2" r:id="rId4"/>
    <sheet name="数据表"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一句话描述</t>
        </is>
      </c>
      <c r="B1" s="1" t="inlineStr">
        <is>
          <t>prompt提示词</t>
        </is>
      </c>
      <c r="C1" s="1" t="inlineStr">
        <is>
          <t>参考demo</t>
        </is>
      </c>
      <c r="D1" s="1" t="inlineStr">
        <is>
          <t>AI 场景</t>
        </is>
      </c>
    </row>
    <row r="2" ht="51" customHeight="1">
      <c r="A2" t="inlineStr">
        <is>
          <t>搭建行政系统</t>
        </is>
      </c>
      <c r="B2" t="inlineStr">
        <is>
          <t>搭建一个行政物品领用系统，包括入库、出库、物品库存3张表</t>
        </is>
      </c>
      <c r="C2" s="2" t="str">
        <f>=HYPERLINK("https://bytedance.feishu.cn/wiki/SXDBwnbpyiIiPAkzKnkcc3mnnpC?table=tblqFNdUsYT778Du&amp;view=vewNv4u4b2", "行政物品管理系统")</f>
        <v>行政物品管理系统</v>
      </c>
      <c r="D2" t="inlineStr">
        <is>
          <t>AI 建表</t>
        </is>
      </c>
    </row>
    <row r="3" ht="51" customHeight="1">
      <c r="A3" t="inlineStr">
        <is>
          <t>搭建个人账本管理系统</t>
        </is>
      </c>
      <c r="B3" t="inlineStr">
        <is>
          <t>做一个个人账本管理，包括收入、消费两张数据表</t>
        </is>
      </c>
      <c r="C3" s="2" t="str">
        <f>=HYPERLINK("https://bytedance.feishu.cn/wiki/CyFRwkJ88i1ZIvkLpFzc0970nbf?table=tbl7JtrwXPlOZnoG&amp;view=vewtop3v4K", "个人账本")</f>
        <v>个人账本</v>
      </c>
      <c r="D3" t="inlineStr">
        <is>
          <t>AI 建表</t>
        </is>
      </c>
    </row>
    <row r="4" ht="51" customHeight="1">
      <c r="A4" t="inlineStr">
        <is>
          <t>整理24节气信息</t>
        </is>
      </c>
      <c r="B4" t="inlineStr">
        <is>
          <t>给出二十四节气的公历日期、特点和民俗活动</t>
        </is>
      </c>
      <c r="C4" s="2" t="str">
        <f>=HYPERLINK("https://bytedance.feishu.cn/wiki/QczbwQx1fi39y6kqqiwc7ThOnNh?table=tblp15uPH9dlPBrd&amp;view=vewGWUtXrE", "二十四节气")</f>
        <v>二十四节气</v>
      </c>
      <c r="D4" t="inlineStr">
        <is>
          <t>AI 建表</t>
        </is>
      </c>
    </row>
    <row r="5" ht="51" customHeight="1">
      <c r="A5" t="inlineStr">
        <is>
          <t>门店巡检系统</t>
        </is>
      </c>
      <c r="B5" t="inlineStr">
        <is>
          <t>搭建一个门店巡检系统，包括门店开市工作检查、门店营业工作检查、门店收市工作检查、整改问题记录4张表</t>
        </is>
      </c>
      <c r="C5" s="2" t="str">
        <f>=HYPERLINK("https://bytedance.feishu.cn/wiki/K2WZwEjhkieaXXkxnT6cJGnLnhb?table=tblSaDM9p2BQtIgL&amp;view=vewWbRVrpU", "门店巡检系统")</f>
        <v>门店巡检系统</v>
      </c>
      <c r="D5" t="inlineStr">
        <is>
          <t>AI 建表</t>
        </is>
      </c>
    </row>
    <row r="6" ht="51" customHeight="1">
      <c r="A6" t="inlineStr">
        <is>
          <t>经管书籍整理系统</t>
        </is>
      </c>
      <c r="B6" t="inlineStr">
        <is>
          <t>收集整理数据，要求是：推荐10本经管类畅销书，给出推荐理由</t>
        </is>
      </c>
      <c r="C6" s="2" t="str">
        <f>=HYPERLINK("https://bytedance.feishu.cn/wiki/DOHswaKz4iPmFVkqKGfcMZ9pnUb", "书籍推荐")</f>
        <v>书籍推荐</v>
      </c>
      <c r="D6" t="inlineStr">
        <is>
          <t>AI 建表</t>
        </is>
      </c>
    </row>
    <row r="7" ht="51" customHeight="1">
      <c r="A7" t="inlineStr">
        <is>
          <t>CRM系统</t>
        </is>
      </c>
      <c r="B7" t="inlineStr">
        <is>
          <t>搭建一个CRM系统，需要管理线索、客户名称、商机、跟进记录、客单价，客户城市、客户联系人，联系人手机号码、对应销售</t>
        </is>
      </c>
      <c r="C7" s="2" t="str">
        <f>=HYPERLINK("https://bytedance.feishu.cn/wiki/SlEQwzwjxilmtJk4OKncjAzJngb?table=tblEbq03SaI2tyvi&amp;view=vewLTNjSmW", "销售 CRM")</f>
        <v>销售 CRM</v>
      </c>
      <c r="D7" t="inlineStr">
        <is>
          <t>AI 建表</t>
        </is>
      </c>
    </row>
    <row r="8" ht="51" customHeight="1">
      <c r="A8" t="inlineStr">
        <is>
          <t>项目管理系统</t>
        </is>
      </c>
      <c r="B8" t="inlineStr">
        <is>
          <t>给我搭建一个项目管理系统，包括项目进度管理表、责任人表等。</t>
        </is>
      </c>
      <c r="C8" s="2"/>
      <c r="D8" t="inlineStr">
        <is>
          <t>AI 建表</t>
        </is>
      </c>
    </row>
    <row r="9" ht="51" customHeight="1">
      <c r="A9" t="inlineStr">
        <is>
          <t>任务管理表</t>
        </is>
      </c>
      <c r="B9" t="inlineStr">
        <is>
          <t>新建任务管理表，追踪不同任务的责任人、进度和时间节点</t>
        </is>
      </c>
      <c r="C9" s="2"/>
      <c r="D9" t="inlineStr">
        <is>
          <t>AI 建表</t>
        </is>
      </c>
    </row>
    <row r="10" ht="51" customHeight="1">
      <c r="A10" t="inlineStr">
        <is>
          <t>二手房交易系统</t>
        </is>
      </c>
      <c r="B10" t="inlineStr">
        <is>
          <t>搭建一个二手房交易系统，包括交易表、用户表和房源表，房源表中需要记录房屋地址、面积、房间数、价格等信息，并且填充一些样本数据</t>
        </is>
      </c>
      <c r="C10" s="2"/>
      <c r="D10" t="inlineStr">
        <is>
          <t>AI 建表</t>
        </is>
      </c>
    </row>
    <row r="11" ht="51" customHeight="1">
      <c r="A11" t="inlineStr">
        <is>
          <t>需求项目管理表</t>
        </is>
      </c>
      <c r="B11" t="inlineStr">
        <is>
          <t>做一个需求立项申请表，需要描述清楚需求价值、预期交付时间，并选择对应的产品线（有文档、会议、表格、IM 4个产品线），还有一些基本的申请审批信息的字段</t>
        </is>
      </c>
      <c r="C11" s="2"/>
      <c r="D11" t="inlineStr">
        <is>
          <t>AI 建表</t>
        </is>
      </c>
    </row>
    <row r="12" ht="51" customHeight="1">
      <c r="A12" t="inlineStr">
        <is>
          <t>AI 自动创建仪表盘</t>
        </is>
      </c>
      <c r="B12" t="inlineStr">
        <is>
          <t>根据&lt;线索管理&gt;这个表的数据，给我创建一个仪表盘</t>
        </is>
      </c>
      <c r="C12" s="2" t="str">
        <f>=HYPERLINK("https://feishu.feishu.cn/base/C1WLbsuPsaNxUwsG6MacapqdnZg?table=tbllh9Mc5IXb7jzX&amp;view=vewdeZqJKA", "CRM-客户关系管理-商机到合同")</f>
        <v>CRM-客户关系管理-商机到合同</v>
      </c>
      <c r="D12" t="inlineStr">
        <is>
          <t>AI 建仪表盘</t>
        </is>
      </c>
    </row>
    <row r="13" ht="51" customHeight="1">
      <c r="A13" t="inlineStr">
        <is>
          <t>AI 自动创建仪表盘</t>
        </is>
      </c>
      <c r="B13" t="inlineStr">
        <is>
          <t>根据商机管理表里的销售额和商机阶段，生成一个不同商机阶段销售额的饼图。</t>
        </is>
      </c>
      <c r="C13" s="2" t="str">
        <f>=HYPERLINK("https://feishu.feishu.cn/base/C1WLbsuPsaNxUwsG6MacapqdnZg?table=tbllh9Mc5IXb7jzX&amp;view=vewdeZqJKA", "CRM-客户关系管理-商机到合同")</f>
        <v>CRM-客户关系管理-商机到合同</v>
      </c>
      <c r="D13" t="inlineStr">
        <is>
          <t>AI 建仪表盘</t>
        </is>
      </c>
    </row>
    <row r="14" ht="51" customHeight="1">
      <c r="A14" t="inlineStr">
        <is>
          <t>AI 自动翻译</t>
        </is>
      </c>
      <c r="B14" t="inlineStr">
        <is>
          <t>把【➕引用字段：Amazon评价】翻译成中文，需要保持简洁易懂,只输出翻译内容，不要有任何多余的引导词或解释</t>
        </is>
      </c>
      <c r="C14" s="2" t="str">
        <f>=HYPERLINK("https://bytedance.larkoffice.com/base/FzWVbgv0gabOoes9c3BcfV2Jnxc?table=tbl77MgsAXYQ8Fr5&amp;view=vew7Gna0CY", "AI 产品描述翻译（对外模板）")</f>
        <v>AI 产品描述翻译（对外模板）</v>
      </c>
      <c r="D14" t="inlineStr">
        <is>
          <t>AI 翻译</t>
        </is>
      </c>
    </row>
    <row r="15" ht="51" customHeight="1">
      <c r="A15" t="inlineStr">
        <is>
          <t>AI 自动翻译</t>
        </is>
      </c>
      <c r="B15" t="inlineStr">
        <is>
          <t>请根据【➕引用字段：门店地址】，自动给出对应的英文地址翻译，按照英文的习惯，城市和省份写最后</t>
        </is>
      </c>
      <c r="C15" s="2" t="str">
        <f>=HYPERLINK("https://bytedance.larkoffice.com/base/EwzabFVC9aQymzs5UancYz2vn1c?table=tblIMAGEdvbnNYPT&amp;view=vewzUyDtjb", "地址信息提取模板（AI ）")</f>
        <v>地址信息提取模板（AI ）</v>
      </c>
      <c r="D15" t="inlineStr">
        <is>
          <t>AI 翻译</t>
        </is>
      </c>
    </row>
    <row r="16" ht="51" customHeight="1">
      <c r="A16" t="inlineStr">
        <is>
          <t>商品文案AI 翻译</t>
        </is>
      </c>
      <c r="B16" t="inlineStr">
        <is>
          <t>这是一个商品的翻译需求，将用户输入【+引用字段 商品名称】翻译为英语,使用尽量精简的翻译,除了翻译结果外不要输出任何内容
当参考术语【+引用字段 涉及术语】中有推荐词组的翻译结果时,你需要优先采纳</t>
        </is>
      </c>
      <c r="C16" s="2" t="str">
        <f>=HYPERLINK("https://ywihh0wfbxr.feishu.cn/base/PSRObZzTIaWsnes8qpiclN1Lnbe?from=from_copylink", "商品文案AI翻译")</f>
        <v>商品文案AI翻译</v>
      </c>
      <c r="D16" t="inlineStr">
        <is>
          <t>AI 翻译</t>
        </is>
      </c>
    </row>
    <row r="17" ht="51" customHeight="1">
      <c r="A17" t="inlineStr">
        <is>
          <t>AI 自动情感识别</t>
        </is>
      </c>
      <c r="B17" t="inlineStr">
        <is>
          <t>请根据【➕引用字段：Amazon评价】，判断这个评价是正面、负面还是中性，只能选择一个标签。</t>
        </is>
      </c>
      <c r="C17" s="2" t="str">
        <f>=HYPERLINK("https://bytedance.larkoffice.com/base/FzWVbgv0gabOoes9c3BcfV2Jnxc?table=tbl77MgsAXYQ8Fr5&amp;view=vew7Gna0CY", "AI 产品描述翻译（对外模板）")</f>
        <v>AI 产品描述翻译（对外模板）</v>
      </c>
      <c r="D17" t="inlineStr">
        <is>
          <t>AI 打标</t>
        </is>
      </c>
    </row>
    <row r="18" ht="51" customHeight="1">
      <c r="A18" t="inlineStr">
        <is>
          <t>AI 舆情监控</t>
        </is>
      </c>
      <c r="B18" t="inlineStr">
        <is>
          <t>请根据【➕引用字段：客户评价】 ，自动判断对应的情感，只可以选择1个选项，比如好评，中性，差评</t>
        </is>
      </c>
      <c r="C18" s="2" t="str">
        <f>=HYPERLINK("https://bytedance.larkoffice.com/wiki/CNAawVupuivQNnk5algcwkJEnOd?table=tblvixBmB180Spbg&amp;view=vewn6utU3t", "如家酒店评价打标系统")</f>
        <v>如家酒店评价打标系统</v>
      </c>
      <c r="D18" t="inlineStr">
        <is>
          <t>AI 打标</t>
        </is>
      </c>
    </row>
    <row r="19" ht="51" customHeight="1">
      <c r="A19" t="inlineStr">
        <is>
          <t>菜品名称提取</t>
        </is>
      </c>
      <c r="B19" t="inlineStr">
        <is>
          <t>请从 【➕引用字段：订单信息】里自动提取菜品的名字，比如订单是金桂红豆吐司(1条,不切片),单价18.0*数量1/芋泥芝芝蛋黄吐司(1条,不切片),单价36.0*数量1，菜品名称就是金桂红豆吐司、芋泥芝芝蛋黄吐司</t>
        </is>
      </c>
      <c r="C19" s="2" t="str">
        <f>=HYPERLINK("https://bytedance.larkoffice.com/wiki/GQQOwzIofiGKQWksbKOcXt2en1b?table=tblfk69yBS7jLRUh&amp;view=vewje3lFvT", "餐饮评价管理系统 （AI demo）")</f>
        <v>餐饮评价管理系统 （AI demo）</v>
      </c>
      <c r="D19" t="inlineStr">
        <is>
          <t>AI 打标</t>
        </is>
      </c>
    </row>
    <row r="20" ht="51" customHeight="1">
      <c r="A20" t="inlineStr">
        <is>
          <t>差评责任判定</t>
        </is>
      </c>
      <c r="B20" t="inlineStr">
        <is>
          <t>如果是【➕引用字段：好差评分类】差评，那么就根据【➕引用字段：客户评价】来判断差评的责任，
比如如果是口味、服务、价格等问题，就选择商家
比如如果是配送速度、骑手、慢等问题，就选择骑手
比如如果是顾客自己的其他问题，就选择顾客</t>
        </is>
      </c>
      <c r="C20" s="2" t="str">
        <f>=HYPERLINK("https://bytedance.larkoffice.com/wiki/GQQOwzIofiGKQWksbKOcXt2en1b?table=tblfk69yBS7jLRUh&amp;view=vewje3lFvT", "餐饮评价管理系统 （AI demo）")</f>
        <v>餐饮评价管理系统 （AI demo）</v>
      </c>
      <c r="D20" t="inlineStr">
        <is>
          <t>AI 打标, AI 总结</t>
        </is>
      </c>
    </row>
    <row r="21" ht="51" customHeight="1">
      <c r="A21" t="inlineStr">
        <is>
          <t>小红书标题生成器</t>
        </is>
      </c>
      <c r="B21" t="inlineStr">
        <is>
          <t>根据【➕引用字段：标题】给我自动生成【➕引用字段：标题个数】个标题，并且每个标题之间自动断行，好的标题符合这些标准：
1. 引发用户的好奇心
2. 使用疑问句或者双重否定，比如你不得不知道的xxx，这个你知道吗
3. 尽量包含数字，比如3个，这5个
4. 尽量符合热点
好的示例：
1. 东北这些地方，你去过几个？
3. 东北旅行，你不能错过的5个地方！
不好的没有断行示例：1. 这5个东北菜，你吃过几个？\n2. 东北必吃的5道菜，你一个都没尝过？\n</t>
        </is>
      </c>
      <c r="C21" s="2" t="str">
        <f>=HYPERLINK("https://bytedance.larkoffice.com/base/AWS3bQMdMahcTVseJuAc7sQVnPd?table=ldx0d8sPLaXYunGq", "小红书 AI 文案生成器")</f>
        <v>小红书 AI 文案生成器</v>
      </c>
      <c r="D21" t="inlineStr">
        <is>
          <t>AI 内容创作</t>
        </is>
      </c>
    </row>
    <row r="22" ht="51" customHeight="1">
      <c r="A22" t="inlineStr">
        <is>
          <t>商品内容创作</t>
        </is>
      </c>
      <c r="B22" t="inlineStr">
        <is>
          <t>你是一个经验丰富的文字创作者，根据 【➕引用字段：商品名称】，和 【➕引用字段：商品标签】的特性，价格是【➕引用字段：商品价格】 ，给我创造一段生动的300字内的商品描述。</t>
        </is>
      </c>
      <c r="C22" s="2" t="str">
        <f>=HYPERLINK("https://bytedance.larkoffice.com/base/LTMIb69sraniN1skHXXcCxJQn6e?table=tbl0svJXwuABN6mS&amp;view=vewMo1PJqt", "商品内容写作器")</f>
        <v>商品内容写作器</v>
      </c>
      <c r="D22" t="inlineStr">
        <is>
          <t>AI 内容创作</t>
        </is>
      </c>
    </row>
    <row r="23" ht="51" customHeight="1">
      <c r="A23" t="inlineStr">
        <is>
          <t>AI 自动回复</t>
        </is>
      </c>
      <c r="B23" t="inlineStr">
        <is>
          <t>你是一个电商客服，需要耐心的解决客户遇到的问题，并提出积极的解决方案，请根据 ，创作合适的2-3句话的回复，然后把这个回复翻译成英文，并且只输入最终的英文回复。</t>
        </is>
      </c>
      <c r="C23" s="2" t="str">
        <f>=HYPERLINK("https://bytedance.larkoffice.com/base/FzWVbgv0gabOoes9c3BcfV2Jnxc?table=tbl77MgsAXYQ8Fr5&amp;view=vew7Gna0CY", "AI 产品描述翻译（对外模板）")</f>
        <v>AI 产品描述翻译（对外模板）</v>
      </c>
      <c r="D23" t="inlineStr">
        <is>
          <t>AI 内容创作, AI 翻译</t>
        </is>
      </c>
    </row>
    <row r="24" ht="51" customHeight="1">
      <c r="A24" t="inlineStr">
        <is>
          <t>订单信息提取</t>
        </is>
      </c>
      <c r="B24" t="inlineStr">
        <is>
          <t>找出中【➕引用字段：订单信息】的订单号</t>
        </is>
      </c>
      <c r="C24" s="2" t="str">
        <f>=HYPERLINK("https://bytedance.larkoffice.com/wiki/Au7IwEKRcidoxukpve4cS4dhnvh?table=tblR1feyGRxP7HCX&amp;view=vewV6vOAQk", "订单信息提取器")</f>
        <v>订单信息提取器</v>
      </c>
      <c r="D24" t="inlineStr">
        <is>
          <t>AI 信息提取</t>
        </is>
      </c>
    </row>
    <row r="25" ht="51" customHeight="1">
      <c r="A25" t="inlineStr">
        <is>
          <t xml:space="preserve"> 自动填充省份</t>
        </is>
      </c>
      <c r="B25" t="inlineStr">
        <is>
          <t>提取【➕引用字段：门店地址】中的省份或直辖市，如果比如是上海、天津、北京、重庆，那么省份也是对应的城市</t>
        </is>
      </c>
      <c r="C25" s="2" t="str">
        <f>=HYPERLINK("https://bytedance.larkoffice.com/base/EwzabFVC9aQymzs5UancYz2vn1c?table=tblIMAGEdvbnNYPT&amp;view=vewzUyDtjb", "地址信息提取模板（AI ）")</f>
        <v>地址信息提取模板（AI ）</v>
      </c>
      <c r="D25" t="inlineStr">
        <is>
          <t>AI 信息提取</t>
        </is>
      </c>
    </row>
    <row r="26" ht="51" customHeight="1">
      <c r="A26" t="inlineStr">
        <is>
          <t xml:space="preserve"> 自动填充货币</t>
        </is>
      </c>
      <c r="B26" t="inlineStr">
        <is>
          <t>写出【➕引用字段：国家】所使用的货币名称缩写，只回答货币名缩写本身
输出示例：CNY</t>
        </is>
      </c>
      <c r="C26" s="2" t="str">
        <f>=HYPERLINK("https://bytedance.larkoffice.com/wiki/WzKywR3T1ir8ZmkSu9CczBJonxf?table=tblCLY83V5ghl2uc&amp;view=vewRGyif4h", "国家信息填充（AI）")</f>
        <v>国家信息填充（AI）</v>
      </c>
      <c r="D26" t="inlineStr">
        <is>
          <t>AI 数据补充</t>
        </is>
      </c>
    </row>
    <row r="27" ht="51" customHeight="1">
      <c r="A27" t="inlineStr">
        <is>
          <t xml:space="preserve"> 自动填充GDP</t>
        </is>
      </c>
      <c r="B27" t="inlineStr">
        <is>
          <t>请根据 ，输入对应的国家2023年的人口总数</t>
        </is>
      </c>
      <c r="C27" s="2" t="str">
        <f>=HYPERLINK("https://bytedance.larkoffice.com/wiki/WzKywR3T1ir8ZmkSu9CczBJonxf?table=tblCLY83V5ghl2uc&amp;view=vewRGyif4h", "国家信息填充（AI）")</f>
        <v>国家信息填充（AI）</v>
      </c>
      <c r="D27" t="inlineStr">
        <is>
          <t>AI 数据补充</t>
        </is>
      </c>
    </row>
    <row r="28" ht="51" customHeight="1">
      <c r="A28" t="inlineStr">
        <is>
          <t>客户赢单原因判断</t>
        </is>
      </c>
      <c r="B28" t="inlineStr">
        <is>
          <t>根据【➕引用字段：赢单原因】中记录的内容，选择最重要的1-3个赢单原因。你必须从给定的选项中选择，无法判断时可选择"其他"这个选项。</t>
        </is>
      </c>
      <c r="C28" s="2" t="str">
        <f>=HYPERLINK("https://bytedance.larkoffice.com/base/XKOCb5ax9anQ7PsfUpicJXPxndf?table=tbloZvFFH1O1cPyr&amp;view=vewewIN27f", "客户赢单原因 （AI ）")</f>
        <v>客户赢单原因 （AI ）</v>
      </c>
      <c r="D28" t="inlineStr">
        <is>
          <t>AI 总结</t>
        </is>
      </c>
    </row>
    <row r="29" ht="51" customHeight="1">
      <c r="A29" t="inlineStr">
        <is>
          <t>客户评论信息总结</t>
        </is>
      </c>
      <c r="B29" t="inlineStr">
        <is>
          <t>请根据 【➕引用字段：客户评价】里提到的关键词，自动根据评论打标列表里的选项，提取评价的关键词，最多3个，最少1个。</t>
        </is>
      </c>
      <c r="C29" s="2" t="str">
        <f>=HYPERLINK("https://bytedance.larkoffice.com/wiki/CNAawVupuivQNnk5algcwkJEnOd?table=tblvixBmB180Spbg&amp;view=vewn6utU3t", "如家酒店评价打标系统")</f>
        <v>如家酒店评价打标系统</v>
      </c>
      <c r="D29" t="inlineStr">
        <is>
          <t>AI 总结</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文本</t>
        </is>
      </c>
      <c r="B1" s="1" t="inlineStr">
        <is>
          <t>讨论群</t>
        </is>
      </c>
      <c r="C1" s="1" t="inlineStr">
        <is>
          <t>人员</t>
        </is>
      </c>
      <c r="D1" s="1" t="inlineStr">
        <is>
          <t>单选</t>
        </is>
      </c>
      <c r="E1" s="1" t="inlineStr">
        <is>
          <t>多选</t>
        </is>
      </c>
      <c r="F1" s="1" t="inlineStr">
        <is>
          <t>日期</t>
        </is>
      </c>
      <c r="G1" s="1" t="inlineStr">
        <is>
          <t>附件</t>
        </is>
      </c>
    </row>
    <row r="2" ht="25.5" customHeight="1">
      <c r="A2"/>
      <c r="B2"/>
      <c r="C2"/>
      <c r="D2"/>
      <c r="E2"/>
      <c r="F2" s="3"/>
      <c r="G2"/>
    </row>
    <row r="3" ht="25.5" customHeight="1">
      <c r="A3"/>
      <c r="B3"/>
      <c r="C3"/>
      <c r="D3"/>
      <c r="E3"/>
      <c r="F3" s="3"/>
      <c r="G3"/>
    </row>
    <row r="4" ht="25.5" customHeight="1">
      <c r="A4"/>
      <c r="B4"/>
      <c r="C4"/>
      <c r="D4"/>
      <c r="E4"/>
      <c r="F4" s="3"/>
      <c r="G4"/>
    </row>
    <row r="5" ht="25.5" customHeight="1">
      <c r="A5"/>
      <c r="B5"/>
      <c r="C5"/>
      <c r="D5"/>
      <c r="E5"/>
      <c r="F5" s="3"/>
      <c r="G5"/>
    </row>
    <row r="6" ht="25.5" customHeight="1">
      <c r="A6"/>
      <c r="B6"/>
      <c r="C6"/>
      <c r="D6"/>
      <c r="E6"/>
      <c r="F6" s="3"/>
      <c r="G6"/>
    </row>
    <row r="7" ht="25.5" customHeight="1">
      <c r="A7"/>
      <c r="B7"/>
      <c r="C7"/>
      <c r="D7"/>
      <c r="E7"/>
      <c r="F7" s="3"/>
      <c r="G7"/>
    </row>
    <row r="8" ht="25.5" customHeight="1">
      <c r="A8"/>
      <c r="B8"/>
      <c r="C8"/>
      <c r="D8"/>
      <c r="E8"/>
      <c r="F8" s="3"/>
      <c r="G8"/>
    </row>
    <row r="9" ht="25.5" customHeight="1">
      <c r="A9"/>
      <c r="B9"/>
      <c r="C9"/>
      <c r="D9"/>
      <c r="E9"/>
      <c r="F9" s="3"/>
      <c r="G9"/>
    </row>
    <row r="10" ht="25.5" customHeight="1">
      <c r="A10"/>
      <c r="B10"/>
      <c r="C10"/>
      <c r="D10"/>
      <c r="E10"/>
      <c r="F10" s="3"/>
      <c r="G10"/>
    </row>
    <row r="11" ht="25.5" customHeight="1">
      <c r="A11"/>
      <c r="B11"/>
      <c r="C11"/>
      <c r="D11"/>
      <c r="E11"/>
      <c r="F11" s="3"/>
      <c r="G1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