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项目甘特图" sheetId="2" r:id="rId5"/>
    <sheet name="项目进展分析" sheetId="3" r:id="rId6"/>
    <sheet name="使用说明" sheetId="4" r:id="rId11"/>
  </sheets>
  <calcPr calcMode="auto"/>
  <pivotCaches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<sst xmlns="http://schemas.openxmlformats.org/spreadsheetml/2006/main" count="4" uniqueCount="4">
  <si>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</si>
  <si>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t xml:space="preserve">输入 @ 插入在线文档，或点击电子表格工具栏中附件图标，将本地文件上传至单元格中。</t>
    </r>
    <r>
      <rPr>
        <u/>
        <sz val="9"/>
        <color theme="10"/>
        <rFont val="Calibri"/>
        <family val="2"/>
      </rPr>
      <t>了解更多</t>
    </r>
  </si>
  <si>
    <t/>
    <r>
      <t>借助数据透视表，可以快速对项目数据进行分类汇总，交叉分析，实时掌控项目进度，效率，成员工作分布等信息，方便了解项目进展。通过简单拖拽字段，用户可轻松改变分析维度，提炼有价值内容，操作介绍请参考</t>
    </r>
    <r>
      <rPr>
        <u/>
        <sz val="9.75"/>
        <color theme="10"/>
        <rFont val="Calibri"/>
        <family val="2"/>
      </rPr>
      <t>创建及使用数据透视表</t>
    </r>
  </si>
  <si>
    <t/>
    <r>
      <rPr>
        <sz val="9.75"/>
        <color rgb="FF1F2329"/>
        <rFont val="Calibri"/>
        <family val="2"/>
      </rPr>
      <t>更智能的项目甘特图欢迎点击➡️</t>
    </r>
    <r>
      <rPr>
        <b/>
        <sz val="9.75"/>
        <color rgb="FF1F2329"/>
        <rFont val="Calibri"/>
        <family val="2"/>
      </rPr>
      <t>（</t>
    </r>
    <r>
      <rPr>
        <b/>
        <u/>
        <sz val="9.75"/>
        <color theme="10"/>
        <rFont val="Calibri"/>
        <family val="2"/>
      </rPr>
      <t>项目甘特图Pro模板</t>
    </r>
    <r>
      <rPr>
        <b/>
        <sz val="9.75"/>
        <color rgb="FF1F2329"/>
        <rFont val="Calibri"/>
        <family val="2"/>
      </rPr>
      <t>）</t>
    </r>
    <r>
      <rPr>
        <sz val="9.75"/>
        <color rgb="FF1F2329"/>
        <rFont val="Calibri"/>
        <family val="2"/>
      </rPr>
      <t>，可智能生成项目时间条、计算工作总量、根据子任务计算父级任务完成度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</si>
</sst>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9">
    <numFmt numFmtId="164" formatCode="yyyy/MM/dd"/>
    <numFmt numFmtId="165" formatCode="#,##0.0"/>
    <numFmt numFmtId="166" formatCode="0"/>
    <numFmt numFmtId="167" formatCode="m/d"/>
    <numFmt numFmtId="168" formatCode="#,##0.0"/>
    <numFmt numFmtId="169" formatCode="yyyy/m/d"/>
    <numFmt numFmtId="170" formatCode="#,##0.0"/>
    <numFmt numFmtId="171" formatCode="@"/>
    <numFmt numFmtId="172" formatCode="@"/>
    <numFmt numFmtId="173" formatCode="#,##0.0"/>
    <numFmt numFmtId="174" formatCode="#,##0.0"/>
    <numFmt numFmtId="175" formatCode="#,##0.0"/>
    <numFmt numFmtId="176" formatCode="#,##0.0"/>
    <numFmt numFmtId="177" formatCode="@"/>
    <numFmt numFmtId="178" formatCode="yyyy/m/d"/>
    <numFmt numFmtId="179" formatCode="#,##0.0"/>
    <numFmt numFmtId="180" formatCode="yyyy/m/d"/>
    <numFmt numFmtId="181" formatCode="yyyy/m/d"/>
    <numFmt numFmtId="182" formatCode="#,##0.0"/>
    <numFmt numFmtId="183" formatCode="#,##0.0"/>
    <numFmt numFmtId="184" formatCode="yyyy/m/d"/>
    <numFmt numFmtId="185" formatCode="yyyy/MM/dd"/>
    <numFmt numFmtId="186" formatCode="yyyy/MM/dd"/>
    <numFmt numFmtId="187" formatCode="yyyy/MM/dd"/>
    <numFmt numFmtId="188" formatCode="yyyy/MM/dd"/>
    <numFmt numFmtId="189" formatCode="yyyy/MM/dd"/>
    <numFmt numFmtId="190" formatCode="yyyy/MM/dd"/>
    <numFmt numFmtId="191" formatCode="yyyy/MM/dd"/>
    <numFmt numFmtId="192" formatCode="#,##0.0"/>
    <numFmt numFmtId="193" formatCode="#,##0.0"/>
    <numFmt numFmtId="194" formatCode="#,##0.0"/>
    <numFmt numFmtId="195" formatCode="#,##0.0"/>
    <numFmt numFmtId="196" formatCode="yyyy/MM/dd"/>
    <numFmt numFmtId="197" formatCode="yyyy/MM/dd"/>
    <numFmt numFmtId="198" formatCode="yyyy/MM/dd"/>
    <numFmt numFmtId="199" formatCode="yyyy/MM/dd"/>
    <numFmt numFmtId="200" formatCode="yyyy/MM/dd"/>
    <numFmt numFmtId="201" formatCode="yyyy/MM/dd"/>
    <numFmt numFmtId="202" formatCode="yyyy/MM/dd"/>
    <numFmt numFmtId="203" formatCode="yyyy/MM/dd"/>
    <numFmt numFmtId="204" formatCode="yyyy/MM/dd"/>
    <numFmt numFmtId="205" formatCode="#,##0"/>
    <numFmt numFmtId="206" formatCode="#,##0"/>
    <numFmt numFmtId="207" formatCode="yyyy/MM/dd"/>
    <numFmt numFmtId="208" formatCode="@"/>
    <numFmt numFmtId="209" formatCode="@"/>
    <numFmt numFmtId="210" formatCode="@"/>
    <numFmt numFmtId="211" formatCode="@"/>
    <numFmt numFmtId="212" formatCode="@"/>
  </numFmts>
  <fonts count="41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370FF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sz val="9.75"/>
      <color rgb="FF4556B0"/>
      <name val="Calibri"/>
      <family val="2"/>
      <scheme val="minor"/>
    </font>
    <font>
      <b val="true"/>
      <sz val="10.5"/>
      <color rgb="FF4556B0"/>
      <name val="Calibri"/>
      <family val="2"/>
      <scheme val="minor"/>
    </font>
    <font>
      <sz val="9"/>
      <color rgb="FF373C43"/>
      <name val="Calibri"/>
      <family val="2"/>
      <scheme val="minor"/>
    </font>
    <font>
      <sz val="9.75"/>
      <color rgb="FF38761E"/>
      <name val="Calibri"/>
      <family val="2"/>
      <scheme val="minor"/>
    </font>
    <font>
      <sz val="9.75"/>
      <color rgb="FFF54A45"/>
      <name val="Calibri"/>
      <family val="2"/>
      <scheme val="minor"/>
    </font>
    <font>
      <sz val="10.5"/>
      <color rgb="FF38761E"/>
      <name val="Calibri"/>
      <family val="2"/>
      <scheme val="minor"/>
    </font>
    <font>
      <sz val="9"/>
      <color rgb="FF8F959E"/>
      <name val="Calibri"/>
      <family val="2"/>
      <scheme val="minor"/>
    </font>
    <font>
      <sz val="9.75"/>
      <color rgb="FF11223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24"/>
      <color rgb="FF5468D2"/>
      <name val="Calibri"/>
      <family val="2"/>
      <scheme val="minor"/>
    </font>
    <font>
      <b val="true"/>
      <sz val="9.75"/>
      <color rgb="FF378F05"/>
      <name val="Calibri"/>
      <family val="2"/>
      <scheme val="minor"/>
    </font>
    <font>
      <b val="true"/>
      <sz val="18"/>
      <color rgb="FF1F2329"/>
      <name val="Calibri"/>
      <family val="2"/>
      <scheme val="minor"/>
    </font>
    <font>
      <b val="true"/>
      <sz val="9.75"/>
      <color rgb="FF424242"/>
      <name val="Calibri"/>
      <family val="2"/>
      <scheme val="minor"/>
    </font>
    <font>
      <b val="true"/>
      <sz val="9.75"/>
      <color rgb="FF112233"/>
      <name val="Calibri"/>
      <family val="2"/>
      <scheme val="minor"/>
    </font>
    <font>
      <sz val="9.75"/>
      <color rgb="FF808080"/>
      <name val="Calibri"/>
      <family val="2"/>
      <scheme val="minor"/>
    </font>
    <font>
      <b val="true"/>
      <sz val="10.5"/>
      <color rgb="FF112233"/>
      <name val="Calibri"/>
      <family val="2"/>
      <scheme val="minor"/>
    </font>
    <font>
      <b val="true"/>
      <sz val="9.75"/>
      <color rgb="FF5468D2"/>
      <name val="Calibri"/>
      <family val="2"/>
      <scheme val="minor"/>
    </font>
    <font>
      <sz val="9.75"/>
      <color rgb="FF575E68"/>
      <name val="Calibri"/>
      <family val="2"/>
      <scheme val="minor"/>
    </font>
    <font>
      <sz val="9.75"/>
      <color rgb="FF424242"/>
      <name val="Calibri"/>
      <family val="2"/>
      <scheme val="minor"/>
    </font>
    <font>
      <sz val="9.75"/>
      <color rgb="FF000000"/>
      <name val="Calibri"/>
      <family val="2"/>
      <scheme val="minor"/>
    </font>
    <font>
      <i val="true"/>
      <sz val="9"/>
      <color rgb="FF818A97"/>
      <name val="Calibri"/>
      <family val="2"/>
      <scheme val="minor"/>
    </font>
    <font>
      <sz val="9.75"/>
      <color rgb="FF9E9E9E"/>
      <name val="Calibri"/>
      <family val="2"/>
      <scheme val="minor"/>
    </font>
    <font>
      <b val="true"/>
      <sz val="9.75"/>
      <color rgb="FF9E9E9E"/>
      <name val="Calibri"/>
      <family val="2"/>
      <scheme val="minor"/>
    </font>
    <font>
      <b val="true"/>
      <sz val="9.75"/>
      <color rgb="FFF76964"/>
      <name val="Calibri"/>
      <family val="2"/>
      <scheme val="minor"/>
    </font>
    <font>
      <b val="true"/>
      <sz val="13.5"/>
      <color rgb="FF124B0C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24"/>
      <color rgb="FF186010"/>
      <name val="Calibri"/>
      <family val="2"/>
      <scheme val="minor"/>
    </font>
    <font>
      <b val="true"/>
      <sz val="24"/>
      <color rgb="FF245BDB"/>
      <name val="Calibri"/>
      <family val="2"/>
      <scheme val="minor"/>
    </font>
    <font>
      <sz val="9.75"/>
      <color rgb="FF124B0C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3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E64D7"/>
        <bgColor/>
      </patternFill>
    </fill>
    <fill>
      <patternFill patternType="solid">
        <fgColor rgb="FF7A91DF"/>
        <bgColor/>
      </patternFill>
    </fill>
    <fill>
      <patternFill patternType="solid">
        <fgColor rgb="FFFD8F29"/>
        <bgColor/>
      </patternFill>
    </fill>
    <fill>
      <patternFill patternType="solid">
        <fgColor rgb="FFFD8F29"/>
        <bgColor/>
      </patternFill>
    </fill>
    <fill>
      <patternFill patternType="solid">
        <fgColor rgb="FFEDEEF6"/>
        <bgColor/>
      </patternFill>
    </fill>
    <fill>
      <patternFill patternType="solid">
        <fgColor rgb="FFEDEEF6"/>
        <bgColor/>
      </patternFill>
    </fill>
    <fill>
      <patternFill patternType="solid">
        <fgColor rgb="FFEDEEF6"/>
        <bgColor/>
      </patternFill>
    </fill>
    <fill>
      <patternFill patternType="solid">
        <fgColor rgb="FFEDEEF6"/>
        <bgColor/>
      </patternFill>
    </fill>
    <fill>
      <patternFill patternType="solid">
        <fgColor rgb="FFEDEEF6"/>
        <bgColor/>
      </patternFill>
    </fill>
    <fill>
      <patternFill patternType="solid">
        <fgColor rgb="FFEDEEF6"/>
        <bgColor/>
      </patternFill>
    </fill>
    <fill>
      <patternFill patternType="solid">
        <fgColor rgb="FFEDEEF6"/>
        <bgColor/>
      </patternFill>
    </fill>
    <fill>
      <patternFill patternType="solid">
        <fgColor rgb="FFDEE1FF"/>
        <bgColor/>
      </patternFill>
    </fill>
    <fill>
      <patternFill patternType="solid">
        <fgColor rgb="FFDEE0E3"/>
        <bgColor/>
      </patternFill>
    </fill>
    <fill>
      <patternFill patternType="solid">
        <fgColor rgb="FFEDEEF6"/>
        <bgColor/>
      </patternFill>
    </fill>
    <fill>
      <patternFill patternType="solid">
        <fgColor rgb="FFEDEEF6"/>
        <bgColor/>
      </patternFill>
    </fill>
    <fill>
      <patternFill patternType="solid">
        <fgColor rgb="FFEDEEF6"/>
        <bgColor/>
      </patternFill>
    </fill>
    <fill>
      <patternFill patternType="solid">
        <fgColor rgb="FFEDEEF6"/>
        <bgColor/>
      </patternFill>
    </fill>
    <fill>
      <patternFill patternType="solid">
        <fgColor rgb="FFEDEEF6"/>
        <bgColor/>
      </patternFill>
    </fill>
    <fill>
      <patternFill patternType="solid">
        <fgColor rgb="FFFAD355"/>
        <bgColor/>
      </patternFill>
    </fill>
    <fill>
      <patternFill patternType="solid">
        <fgColor rgb="FFD9F5D6"/>
        <bgColor/>
      </patternFill>
    </fill>
    <fill>
      <patternFill patternType="solid">
        <fgColor rgb="FFFF7F8E"/>
        <bgColor/>
      </patternFill>
    </fill>
    <fill>
      <patternFill patternType="solid">
        <fgColor rgb="FFF76964"/>
        <bgColor/>
      </patternFill>
    </fill>
    <fill>
      <patternFill patternType="solid">
        <fgColor rgb="FFD9F5D6"/>
        <bgColor/>
      </patternFill>
    </fill>
    <fill>
      <patternFill patternType="solid">
        <fgColor rgb="FFFAD355"/>
        <bgColor/>
      </patternFill>
    </fill>
    <fill>
      <patternFill patternType="solid">
        <fgColor rgb="FF8EE085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</fills>
  <borders count="1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5167D0"/>
      </top>
      <bottom/>
      <diagonal/>
    </border>
    <border>
      <left/>
      <right/>
      <top/>
      <bottom/>
      <diagonal/>
    </border>
    <border>
      <left style="thin">
        <color rgb="FFDEE0E3"/>
      </left>
      <right/>
      <top style="thin">
        <color rgb="FFE6E6E6"/>
      </top>
      <bottom/>
      <diagonal/>
    </border>
    <border>
      <left style="thin">
        <color rgb="FFFFCF97"/>
      </left>
      <right/>
      <top style="thin">
        <color rgb="FFE6E6E6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/>
      <top style="thin">
        <color rgb="FFEBEAFF"/>
      </top>
      <bottom style="thin">
        <color rgb="FFEBEAFF"/>
      </bottom>
      <diagonal/>
    </border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EE0E3"/>
      </left>
      <right/>
      <top style="thin">
        <color rgb="FFEBEAFF"/>
      </top>
      <bottom style="thin">
        <color rgb="FFEBEAFF"/>
      </bottom>
      <diagonal/>
    </border>
    <border>
      <left/>
      <right/>
      <top style="thin">
        <color rgb="FFEBEAFF"/>
      </top>
      <bottom style="thin">
        <color rgb="FFEB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 style="thin">
        <color rgb="FFFFFFFF"/>
      </left>
      <right/>
      <top style="thin">
        <color rgb="FFDEE0E3"/>
      </top>
      <bottom style="thin">
        <color rgb="FFDEE0E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DEE0E3"/>
      </top>
      <bottom style="thin">
        <color rgb="FFDEE0E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E6E6E6"/>
      </top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7F8E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F5D6"/>
      </left>
      <right style="thin">
        <color rgb="FFD9F5D6"/>
      </right>
      <top style="thin">
        <color rgb="FFD9F5D6"/>
      </top>
      <bottom style="thin">
        <color rgb="FFD9F5D6"/>
      </bottom>
      <diagonal/>
    </border>
    <border>
      <left style="thin">
        <color rgb="FFD9F5D6"/>
      </left>
      <right style="thin">
        <color rgb="FFD9F5D6"/>
      </right>
      <top style="thin">
        <color rgb="FFD9F5D6"/>
      </top>
      <bottom style="thin">
        <color rgb="FFD9F5D6"/>
      </bottom>
      <diagonal/>
    </border>
    <border>
      <left style="thin">
        <color rgb="FFD9F5D6"/>
      </left>
      <right style="thin">
        <color rgb="FFD9F5D6"/>
      </right>
      <top style="thin">
        <color rgb="FFD9F5D6"/>
      </top>
      <bottom style="thin">
        <color rgb="FFD9F5D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4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true" applyProtection="false" borderId="3" fillId="0" fontId="2" numFmtId="165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false" applyFont="true" applyNumberFormat="true" applyProtection="false" borderId="6" fillId="0" fontId="2" numFmtId="166" xfId="0">
      <alignment horizontal="center" vertical="center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true" applyFont="true" applyNumberFormat="false" applyProtection="false" borderId="8" fillId="2" fontId="4" numFmtId="0" xfId="0">
      <alignment horizontal="center" vertical="center"/>
    </xf>
    <xf applyAlignment="true" applyBorder="false" applyFill="true" applyFont="true" applyNumberFormat="true" applyProtection="false" borderId="9" fillId="3" fontId="5" numFmtId="167" xfId="0">
      <alignment horizontal="center" vertical="center"/>
    </xf>
    <xf applyAlignment="true" applyBorder="false" applyFill="true" applyFont="true" applyNumberFormat="false" applyProtection="false" borderId="10" fillId="4" fontId="4" numFmtId="0" xfId="0">
      <alignment horizontal="center" vertical="center"/>
    </xf>
    <xf applyAlignment="true" applyBorder="false" applyFill="true" applyFont="true" applyNumberFormat="false" applyProtection="false" borderId="11" fillId="5" fontId="4" numFmtId="0" xfId="0">
      <alignment horizontal="center" vertical="center"/>
    </xf>
    <xf applyAlignment="true" applyBorder="false" applyFill="false" applyFont="true" applyNumberFormat="false" applyProtection="false" borderId="12" fillId="0" fontId="6" numFmtId="0" xfId="0">
      <alignment horizontal="center" vertical="center"/>
    </xf>
    <xf applyAlignment="true" applyBorder="false" applyFill="false" applyFont="true" applyNumberFormat="false" applyProtection="false" borderId="13" fillId="0" fontId="7" numFmtId="0" xfId="0">
      <alignment vertical="center"/>
    </xf>
    <xf applyAlignment="true" applyBorder="false" applyFill="false" applyFont="true" applyNumberFormat="false" applyProtection="false" borderId="14" fillId="0" fontId="7" numFmtId="0" xfId="0">
      <alignment vertical="bottom"/>
    </xf>
    <xf applyAlignment="true" applyBorder="false" applyFill="false" applyFont="true" applyNumberFormat="true" applyProtection="false" borderId="15" fillId="0" fontId="7" numFmtId="168" xfId="0">
      <alignment vertical="bottom"/>
    </xf>
    <xf applyAlignment="true" applyBorder="false" applyFill="false" applyFont="true" applyNumberFormat="false" applyProtection="false" borderId="16" fillId="0" fontId="2" numFmtId="0" xfId="0">
      <alignment vertical="bottom"/>
    </xf>
    <xf applyAlignment="true" applyBorder="false" applyFill="false" applyFont="true" applyNumberFormat="true" applyProtection="false" borderId="17" fillId="0" fontId="2" numFmtId="169" xfId="0">
      <alignment horizontal="center" vertical="center"/>
    </xf>
    <xf applyAlignment="true" applyBorder="false" applyFill="true" applyFont="true" applyNumberFormat="true" applyProtection="false" borderId="18" fillId="6" fontId="1" numFmtId="170" xfId="0">
      <alignment horizontal="center" vertical="center"/>
    </xf>
    <xf applyAlignment="true" applyBorder="false" applyFill="true" applyFont="true" applyNumberFormat="false" applyProtection="false" borderId="19" fillId="7" fontId="8" numFmtId="0" xfId="0">
      <alignment horizontal="center" vertical="center"/>
    </xf>
    <xf applyAlignment="true" applyBorder="false" applyFill="true" applyFont="true" applyNumberFormat="true" applyProtection="false" borderId="20" fillId="8" fontId="9" numFmtId="171" xfId="0">
      <alignment horizontal="left" vertical="center" wrapText="true"/>
    </xf>
    <xf applyAlignment="true" applyBorder="false" applyFill="true" applyFont="true" applyNumberFormat="true" applyProtection="false" borderId="21" fillId="9" fontId="9" numFmtId="172" xfId="0">
      <alignment horizontal="left" vertical="center" wrapText="true"/>
    </xf>
    <xf applyAlignment="true" applyBorder="false" applyFill="true" applyFont="true" applyNumberFormat="true" applyProtection="false" borderId="22" fillId="10" fontId="1" numFmtId="173" xfId="0">
      <alignment horizontal="center" vertical="center"/>
    </xf>
    <xf applyAlignment="true" applyBorder="false" applyFill="true" applyFont="true" applyNumberFormat="false" applyProtection="false" borderId="23" fillId="11" fontId="1" numFmtId="0" xfId="0">
      <alignment horizontal="center" vertical="center"/>
    </xf>
    <xf applyAlignment="true" applyBorder="false" applyFill="true" applyFont="true" applyNumberFormat="true" applyProtection="false" borderId="24" fillId="12" fontId="1" numFmtId="174" xfId="0">
      <alignment horizontal="center" vertical="center"/>
    </xf>
    <xf applyAlignment="true" applyBorder="false" applyFill="true" applyFont="true" applyNumberFormat="true" applyProtection="false" borderId="25" fillId="13" fontId="10" numFmtId="175" xfId="0">
      <alignment horizontal="center" vertical="center"/>
    </xf>
    <xf applyAlignment="true" applyBorder="false" applyFill="false" applyFont="true" applyNumberFormat="true" applyProtection="false" borderId="26" fillId="0" fontId="11" numFmtId="176" xfId="0">
      <alignment vertical="center"/>
    </xf>
    <xf applyAlignment="true" applyBorder="false" applyFill="false" applyFont="true" applyNumberFormat="false" applyProtection="false" borderId="27" fillId="0" fontId="11" numFmtId="0" xfId="0">
      <alignment vertical="center"/>
    </xf>
    <xf applyAlignment="true" applyBorder="false" applyFill="false" applyFont="true" applyNumberFormat="false" applyProtection="false" borderId="28" fillId="0" fontId="12" numFmtId="0" xfId="0">
      <alignment vertical="center"/>
    </xf>
    <xf applyAlignment="true" applyBorder="false" applyFill="false" applyFont="true" applyNumberFormat="false" applyProtection="false" borderId="29" fillId="0" fontId="13" numFmtId="0" xfId="0">
      <alignment horizontal="left" vertical="center"/>
    </xf>
    <xf applyAlignment="true" applyBorder="false" applyFill="false" applyFont="true" applyNumberFormat="false" applyProtection="false" borderId="30" fillId="0" fontId="13" numFmtId="0" xfId="0">
      <alignment horizontal="left" vertical="center"/>
    </xf>
    <xf applyAlignment="true" applyBorder="false" applyFill="true" applyFont="true" applyNumberFormat="true" applyProtection="false" borderId="31" fillId="14" fontId="9" numFmtId="177" xfId="0">
      <alignment horizontal="center" vertical="center" wrapText="true"/>
    </xf>
    <xf applyAlignment="true" applyBorder="false" applyFill="true" applyFont="true" applyNumberFormat="true" applyProtection="false" borderId="32" fillId="15" fontId="14" numFmtId="178" xfId="0">
      <alignment vertical="bottom" wrapText="true"/>
    </xf>
    <xf applyAlignment="true" applyBorder="false" applyFill="true" applyFont="true" applyNumberFormat="false" applyProtection="false" borderId="33" fillId="16" fontId="14" numFmtId="0" xfId="0">
      <alignment horizontal="center" vertical="center" wrapText="true"/>
    </xf>
    <xf applyAlignment="true" applyBorder="false" applyFill="true" applyFont="true" applyNumberFormat="true" applyProtection="false" borderId="34" fillId="17" fontId="8" numFmtId="179" xfId="0">
      <alignment horizontal="center" vertical="center"/>
    </xf>
    <xf applyAlignment="true" applyBorder="false" applyFill="true" applyFont="true" applyNumberFormat="true" applyProtection="false" borderId="35" fillId="18" fontId="14" numFmtId="180" xfId="0">
      <alignment horizontal="center" vertical="center" wrapText="true"/>
    </xf>
    <xf applyAlignment="true" applyBorder="false" applyFill="true" applyFont="true" applyNumberFormat="true" applyProtection="false" borderId="36" fillId="19" fontId="14" numFmtId="181" xfId="0">
      <alignment horizontal="center" vertical="center"/>
    </xf>
    <xf applyAlignment="true" applyBorder="false" applyFill="false" applyFont="true" applyNumberFormat="true" applyProtection="false" borderId="37" fillId="0" fontId="2" numFmtId="182" xfId="0">
      <alignment vertical="center"/>
    </xf>
    <xf applyAlignment="true" applyBorder="false" applyFill="false" applyFont="true" applyNumberFormat="false" applyProtection="false" borderId="38" fillId="0" fontId="15" numFmtId="0" xfId="0">
      <alignment vertical="center"/>
    </xf>
    <xf applyAlignment="true" applyBorder="false" applyFill="false" applyFont="true" applyNumberFormat="false" applyProtection="false" borderId="39" fillId="0" fontId="1" numFmtId="0" xfId="0">
      <alignment horizontal="left" vertical="center"/>
    </xf>
    <xf applyAlignment="true" applyBorder="false" applyFill="false" applyFont="true" applyNumberFormat="false" applyProtection="false" borderId="40" fillId="0" fontId="15" numFmtId="0" xfId="0">
      <alignment vertical="bottom"/>
    </xf>
    <xf applyAlignment="true" applyBorder="false" applyFill="false" applyFont="true" applyNumberFormat="true" applyProtection="false" borderId="41" fillId="0" fontId="16" numFmtId="183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false" applyFont="true" applyNumberFormat="false" applyProtection="false" borderId="43" fillId="0" fontId="17" numFmtId="0" xfId="0">
      <alignment horizontal="left" vertical="center" wrapText="true"/>
    </xf>
    <xf applyAlignment="true" applyBorder="false" applyFill="false" applyFont="true" applyNumberFormat="true" applyProtection="false" borderId="44" fillId="0" fontId="2" numFmtId="184" xfId="0">
      <alignment vertical="bottom"/>
    </xf>
    <xf applyAlignment="true" applyBorder="false" applyFill="false" applyFont="true" applyNumberFormat="false" applyProtection="false" borderId="45" fillId="0" fontId="1" numFmtId="0" xfId="0">
      <alignment vertical="bottom"/>
    </xf>
    <xf applyAlignment="true" applyBorder="false" applyFill="false" applyFont="true" applyNumberFormat="false" applyProtection="false" borderId="46" fillId="0" fontId="18" numFmtId="0" xfId="0">
      <alignment vertical="bottom"/>
    </xf>
    <xf applyAlignment="true" applyBorder="false" applyFill="false" applyFont="true" applyNumberFormat="false" applyProtection="false" borderId="47" fillId="0" fontId="2" numFmtId="0" xfId="0">
      <alignment vertical="bottom"/>
    </xf>
    <xf applyAlignment="true" applyBorder="false" applyFill="false" applyFont="true" applyNumberFormat="false" applyProtection="false" borderId="48" fillId="0" fontId="19" numFmtId="0" xfId="0">
      <alignment horizontal="left" vertical="center"/>
    </xf>
    <xf applyAlignment="true" applyBorder="false" applyFill="false" applyFont="true" applyNumberFormat="false" applyProtection="false" borderId="49" fillId="0" fontId="1" numFmtId="0" xfId="0">
      <alignment vertical="bottom"/>
    </xf>
    <xf applyAlignment="true" applyBorder="false" applyFill="false" applyFont="true" applyNumberFormat="false" applyProtection="false" borderId="50" fillId="0" fontId="2" numFmtId="0" xfId="0">
      <alignment vertical="bottom"/>
    </xf>
    <xf applyAlignment="true" applyBorder="false" applyFill="false" applyFont="true" applyNumberFormat="false" applyProtection="false" borderId="51" fillId="0" fontId="20" numFmtId="0" xfId="0">
      <alignment horizontal="left" vertical="bottom"/>
    </xf>
    <xf applyAlignment="true" applyBorder="false" applyFill="false" applyFont="true" applyNumberFormat="false" applyProtection="false" borderId="52" fillId="0" fontId="21" numFmtId="0" xfId="0">
      <alignment horizontal="left" vertical="center"/>
    </xf>
    <xf applyAlignment="true" applyBorder="false" applyFill="false" applyFont="true" applyNumberFormat="false" applyProtection="false" borderId="53" fillId="0" fontId="18" numFmtId="0" xfId="0">
      <alignment vertical="bottom"/>
    </xf>
    <xf applyAlignment="true" applyBorder="false" applyFill="false" applyFont="true" applyNumberFormat="false" applyProtection="false" borderId="54" fillId="0" fontId="16" numFmtId="0" xfId="0">
      <alignment vertical="center"/>
    </xf>
    <xf applyAlignment="true" applyBorder="false" applyFill="false" applyFont="true" applyNumberFormat="false" applyProtection="false" borderId="55" fillId="0" fontId="2" numFmtId="0" xfId="0">
      <alignment horizontal="left" vertical="center"/>
    </xf>
    <xf applyAlignment="true" applyBorder="false" applyFill="false" applyFont="true" applyNumberFormat="false" applyProtection="false" borderId="56" fillId="0" fontId="22" numFmtId="0" xfId="0">
      <alignment vertical="center"/>
    </xf>
    <xf applyAlignment="true" applyBorder="false" applyFill="false" applyFont="true" applyNumberFormat="true" applyProtection="false" borderId="57" fillId="0" fontId="23" numFmtId="185" xfId="0">
      <alignment horizontal="center" vertical="bottom"/>
    </xf>
    <xf applyAlignment="true" applyBorder="false" applyFill="false" applyFont="true" applyNumberFormat="true" applyProtection="false" borderId="58" fillId="0" fontId="24" numFmtId="186" xfId="0">
      <alignment horizontal="center" vertical="center"/>
    </xf>
    <xf applyAlignment="true" applyBorder="false" applyFill="false" applyFont="true" applyNumberFormat="false" applyProtection="false" borderId="59" fillId="0" fontId="24" numFmtId="0" xfId="0">
      <alignment horizontal="center" vertical="center"/>
    </xf>
    <xf applyAlignment="true" applyBorder="false" applyFill="false" applyFont="true" applyNumberFormat="false" applyProtection="false" borderId="60" fillId="0" fontId="23" numFmtId="0" xfId="0">
      <alignment horizontal="center" vertical="bottom"/>
    </xf>
    <xf applyAlignment="true" applyBorder="false" applyFill="false" applyFont="true" applyNumberFormat="false" applyProtection="false" borderId="61" fillId="0" fontId="25" numFmtId="0" xfId="0">
      <alignment horizontal="center" vertical="center"/>
    </xf>
    <xf applyAlignment="true" applyBorder="false" applyFill="false" applyFont="true" applyNumberFormat="false" applyProtection="false" borderId="62" fillId="0" fontId="26" numFmtId="0" xfId="0">
      <alignment horizontal="left" vertical="center"/>
    </xf>
    <xf applyAlignment="true" applyBorder="false" applyFill="false" applyFont="true" applyNumberFormat="false" applyProtection="false" borderId="63" fillId="0" fontId="27" numFmtId="0" xfId="0">
      <alignment horizontal="left" vertical="center"/>
    </xf>
    <xf applyAlignment="true" applyBorder="false" applyFill="false" applyFont="true" applyNumberFormat="false" applyProtection="false" borderId="64" fillId="0" fontId="22" numFmtId="0" xfId="0">
      <alignment horizontal="center" vertical="center"/>
    </xf>
    <xf applyAlignment="true" applyBorder="false" applyFill="false" applyFont="true" applyNumberFormat="true" applyProtection="false" borderId="65" fillId="0" fontId="25" numFmtId="187" xfId="0">
      <alignment horizontal="center" vertical="center"/>
    </xf>
    <xf applyAlignment="true" applyBorder="false" applyFill="false" applyFont="true" applyNumberFormat="true" applyProtection="false" borderId="66" fillId="0" fontId="28" numFmtId="188" xfId="0">
      <alignment vertical="bottom"/>
    </xf>
    <xf applyAlignment="true" applyBorder="false" applyFill="false" applyFont="true" applyNumberFormat="true" applyProtection="false" borderId="67" fillId="0" fontId="25" numFmtId="189" xfId="0">
      <alignment horizontal="center" vertical="center"/>
    </xf>
    <xf applyAlignment="true" applyBorder="false" applyFill="false" applyFont="true" applyNumberFormat="false" applyProtection="false" borderId="68" fillId="0" fontId="29" numFmtId="0" xfId="0">
      <alignment horizontal="left" vertical="center"/>
    </xf>
    <xf applyAlignment="true" applyBorder="false" applyFill="false" applyFont="true" applyNumberFormat="true" applyProtection="false" borderId="69" fillId="0" fontId="24" numFmtId="190" xfId="0">
      <alignment horizontal="center" vertical="center"/>
    </xf>
    <xf applyAlignment="true" applyBorder="false" applyFill="false" applyFont="true" applyNumberFormat="false" applyProtection="false" borderId="70" fillId="0" fontId="24" numFmtId="0" xfId="0">
      <alignment horizontal="center" vertical="center"/>
    </xf>
    <xf applyAlignment="true" applyBorder="false" applyFill="false" applyFont="true" applyNumberFormat="true" applyProtection="false" borderId="71" fillId="0" fontId="22" numFmtId="191" xfId="0">
      <alignment horizontal="center" vertical="center"/>
    </xf>
    <xf applyAlignment="true" applyBorder="false" applyFill="false" applyFont="true" applyNumberFormat="false" applyProtection="false" borderId="72" fillId="0" fontId="25" numFmtId="0" xfId="0">
      <alignment horizontal="center" vertical="center"/>
    </xf>
    <xf applyAlignment="true" applyBorder="false" applyFill="false" applyFont="true" applyNumberFormat="true" applyProtection="false" borderId="73" fillId="0" fontId="2" numFmtId="192" xfId="0">
      <alignment vertical="bottom"/>
    </xf>
    <xf applyAlignment="true" applyBorder="false" applyFill="false" applyFont="true" applyNumberFormat="true" applyProtection="false" borderId="74" fillId="0" fontId="30" numFmtId="193" xfId="0">
      <alignment horizontal="left" vertical="center"/>
    </xf>
    <xf applyAlignment="true" applyBorder="false" applyFill="false" applyFont="true" applyNumberFormat="true" applyProtection="false" borderId="75" fillId="0" fontId="28" numFmtId="194" xfId="0">
      <alignment vertical="bottom"/>
    </xf>
    <xf applyAlignment="true" applyBorder="false" applyFill="false" applyFont="true" applyNumberFormat="false" applyProtection="false" borderId="76" fillId="0" fontId="6" numFmtId="0" xfId="0">
      <alignment horizontal="center" vertical="center"/>
    </xf>
    <xf applyAlignment="true" applyBorder="false" applyFill="false" applyFont="true" applyNumberFormat="true" applyProtection="false" borderId="77" fillId="0" fontId="7" numFmtId="195" xfId="0">
      <alignment vertical="center"/>
    </xf>
    <xf applyAlignment="true" applyBorder="false" applyFill="false" applyFont="true" applyNumberFormat="true" applyProtection="false" borderId="78" fillId="0" fontId="31" numFmtId="196" xfId="0">
      <alignment horizontal="left" vertical="center"/>
    </xf>
    <xf applyAlignment="true" applyBorder="false" applyFill="false" applyFont="true" applyNumberFormat="false" applyProtection="false" borderId="79" fillId="0" fontId="22" numFmtId="0" xfId="0">
      <alignment vertical="center"/>
    </xf>
    <xf applyAlignment="true" applyBorder="false" applyFill="false" applyFont="true" applyNumberFormat="false" applyProtection="false" borderId="80" fillId="0" fontId="22" numFmtId="0" xfId="0">
      <alignment vertical="center"/>
    </xf>
    <xf applyAlignment="true" applyBorder="false" applyFill="false" applyFont="true" applyNumberFormat="true" applyProtection="false" borderId="81" fillId="0" fontId="25" numFmtId="197" xfId="0">
      <alignment horizontal="center" vertical="center"/>
    </xf>
    <xf applyAlignment="true" applyBorder="false" applyFill="false" applyFont="true" applyNumberFormat="false" applyProtection="false" borderId="82" fillId="0" fontId="29" numFmtId="0" xfId="0">
      <alignment horizontal="left" vertical="center"/>
    </xf>
    <xf applyAlignment="true" applyBorder="false" applyFill="false" applyFont="true" applyNumberFormat="true" applyProtection="false" borderId="83" fillId="0" fontId="32" numFmtId="198" xfId="0">
      <alignment horizontal="center" vertical="bottom"/>
    </xf>
    <xf applyAlignment="true" applyBorder="false" applyFill="false" applyFont="true" applyNumberFormat="true" applyProtection="false" borderId="84" fillId="0" fontId="27" numFmtId="199" xfId="0">
      <alignment horizontal="left" vertical="center"/>
    </xf>
    <xf applyAlignment="true" applyBorder="false" applyFill="false" applyFont="true" applyNumberFormat="true" applyProtection="false" borderId="85" fillId="0" fontId="26" numFmtId="200" xfId="0">
      <alignment horizontal="left" vertical="center"/>
    </xf>
    <xf applyAlignment="true" applyBorder="false" applyFill="false" applyFont="true" applyNumberFormat="true" applyProtection="false" borderId="86" fillId="0" fontId="31" numFmtId="201" xfId="0">
      <alignment horizontal="left" vertical="center"/>
    </xf>
    <xf applyAlignment="true" applyBorder="false" applyFill="false" applyFont="true" applyNumberFormat="false" applyProtection="false" borderId="87" fillId="0" fontId="27" numFmtId="0" xfId="0">
      <alignment horizontal="left" vertical="center"/>
    </xf>
    <xf applyAlignment="true" applyBorder="false" applyFill="false" applyFont="true" applyNumberFormat="true" applyProtection="false" borderId="88" fillId="0" fontId="31" numFmtId="202" xfId="0">
      <alignment horizontal="left" vertical="center"/>
    </xf>
    <xf applyAlignment="true" applyBorder="false" applyFill="false" applyFont="true" applyNumberFormat="true" applyProtection="false" borderId="89" fillId="0" fontId="31" numFmtId="203" xfId="0">
      <alignment horizontal="left" vertical="center"/>
    </xf>
    <xf applyAlignment="true" applyBorder="false" applyFill="false" applyFont="true" applyNumberFormat="false" applyProtection="false" borderId="90" fillId="0" fontId="11" numFmtId="0" xfId="0">
      <alignment vertical="bottom"/>
    </xf>
    <xf applyAlignment="true" applyBorder="false" applyFill="false" applyFont="true" applyNumberFormat="false" applyProtection="false" borderId="91" fillId="0" fontId="11" numFmtId="0" xfId="0">
      <alignment horizontal="left" vertical="center"/>
    </xf>
    <xf applyAlignment="true" applyBorder="false" applyFill="false" applyFont="true" applyNumberFormat="false" applyProtection="false" borderId="92" fillId="0" fontId="24" numFmtId="0" xfId="0">
      <alignment horizontal="left" vertical="center"/>
    </xf>
    <xf applyAlignment="true" applyBorder="false" applyFill="false" applyFont="true" applyNumberFormat="false" applyProtection="false" borderId="93" fillId="0" fontId="22" numFmtId="0" xfId="0">
      <alignment horizontal="left" vertical="center"/>
    </xf>
    <xf applyAlignment="true" applyBorder="false" applyFill="false" applyFont="true" applyNumberFormat="false" applyProtection="false" borderId="94" fillId="0" fontId="24" numFmtId="0" xfId="0">
      <alignment horizontal="left" vertical="center"/>
    </xf>
    <xf applyAlignment="true" applyBorder="false" applyFill="false" applyFont="true" applyNumberFormat="true" applyProtection="false" borderId="95" fillId="0" fontId="32" numFmtId="204" xfId="0">
      <alignment horizontal="center" vertical="bottom"/>
    </xf>
    <xf applyAlignment="true" applyBorder="false" applyFill="false" applyFont="true" applyNumberFormat="false" applyProtection="false" borderId="96" fillId="0" fontId="26" numFmtId="0" xfId="0">
      <alignment horizontal="left" vertical="bottom"/>
    </xf>
    <xf applyAlignment="true" applyBorder="false" applyFill="false" applyFont="true" applyNumberFormat="false" applyProtection="false" borderId="97" fillId="0" fontId="29" numFmtId="0" xfId="0">
      <alignment horizontal="left" vertical="center"/>
    </xf>
    <xf applyAlignment="true" applyBorder="false" applyFill="true" applyFont="true" applyNumberFormat="false" applyProtection="false" borderId="98" fillId="20" fontId="25" numFmtId="0" xfId="0">
      <alignment horizontal="center" vertical="center"/>
    </xf>
    <xf applyAlignment="true" applyBorder="false" applyFill="false" applyFont="true" applyNumberFormat="true" applyProtection="false" borderId="99" fillId="0" fontId="22" numFmtId="205" xfId="0">
      <alignment horizontal="left" vertical="center"/>
    </xf>
    <xf applyAlignment="true" applyBorder="false" applyFill="true" applyFont="true" applyNumberFormat="false" applyProtection="false" borderId="100" fillId="21" fontId="22" numFmtId="0" xfId="0">
      <alignment horizontal="center" vertical="center"/>
    </xf>
    <xf applyAlignment="true" applyBorder="false" applyFill="false" applyFont="true" applyNumberFormat="true" applyProtection="false" borderId="101" fillId="0" fontId="23" numFmtId="206" xfId="0">
      <alignment horizontal="left" vertical="bottom"/>
    </xf>
    <xf applyAlignment="true" applyBorder="false" applyFill="true" applyFont="true" applyNumberFormat="true" applyProtection="false" borderId="102" fillId="22" fontId="33" numFmtId="207" xfId="0">
      <alignment horizontal="center" vertical="center"/>
    </xf>
    <xf applyAlignment="true" applyBorder="false" applyFill="false" applyFont="true" applyNumberFormat="false" applyProtection="false" borderId="103" fillId="0" fontId="22" numFmtId="0" xfId="0">
      <alignment horizontal="left" vertical="center"/>
    </xf>
    <xf applyAlignment="true" applyBorder="false" applyFill="false" applyFont="true" applyNumberFormat="false" applyProtection="false" borderId="104" fillId="0" fontId="25" numFmtId="0" xfId="0">
      <alignment horizontal="center" vertical="center"/>
    </xf>
    <xf applyAlignment="true" applyBorder="false" applyFill="false" applyFont="true" applyNumberFormat="false" applyProtection="false" borderId="105" fillId="0" fontId="28" numFmtId="0" xfId="0">
      <alignment horizontal="left" vertical="bottom"/>
    </xf>
    <xf applyAlignment="true" applyBorder="false" applyFill="false" applyFont="true" applyNumberFormat="false" applyProtection="false" borderId="106" fillId="0" fontId="22" numFmtId="0" xfId="0">
      <alignment horizontal="left" vertical="center"/>
    </xf>
    <xf applyAlignment="false" applyBorder="false" applyFill="true" applyFont="false" applyNumberFormat="false" applyProtection="false" borderId="107" fillId="23" fontId="0" numFmtId="0" xfId="0">
      <alignment/>
    </xf>
    <xf applyAlignment="false" applyBorder="false" applyFill="true" applyFont="false" applyNumberFormat="false" applyProtection="false" borderId="108" fillId="24" fontId="0" numFmtId="0" xfId="0">
      <alignment/>
    </xf>
    <xf applyAlignment="false" applyBorder="false" applyFill="true" applyFont="false" applyNumberFormat="false" applyProtection="false" borderId="109" fillId="25" fontId="0" numFmtId="0" xfId="0">
      <alignment/>
    </xf>
    <xf applyAlignment="true" applyBorder="false" applyFill="true" applyFont="true" applyNumberFormat="false" applyProtection="false" borderId="110" fillId="26" fontId="34" numFmtId="0" xfId="0">
      <alignment horizontal="center" vertical="center"/>
    </xf>
    <xf applyAlignment="true" applyBorder="false" applyFill="true" applyFont="true" applyNumberFormat="false" applyProtection="false" borderId="111" fillId="27" fontId="35" numFmtId="0" xfId="0">
      <alignment horizontal="center" vertical="center"/>
    </xf>
    <xf applyAlignment="true" applyBorder="false" applyFill="false" applyFont="true" applyNumberFormat="false" applyProtection="false" borderId="112" fillId="0" fontId="36" numFmtId="0" xfId="0">
      <alignment horizontal="center" vertical="center"/>
    </xf>
    <xf applyAlignment="true" applyBorder="false" applyFill="false" applyFont="true" applyNumberFormat="false" applyProtection="false" borderId="113" fillId="0" fontId="37" numFmtId="0" xfId="0">
      <alignment horizontal="left" vertical="center"/>
    </xf>
    <xf applyAlignment="true" applyBorder="false" applyFill="true" applyFont="true" applyNumberFormat="false" applyProtection="false" borderId="114" fillId="28" fontId="38" numFmtId="0" xfId="0">
      <alignment vertical="center"/>
    </xf>
    <xf applyAlignment="true" applyBorder="false" applyFill="true" applyFont="true" applyNumberFormat="false" applyProtection="false" borderId="115" fillId="29" fontId="38" numFmtId="0" xfId="0">
      <alignment horizontal="left" vertical="center" wrapText="true"/>
    </xf>
    <xf applyAlignment="true" applyBorder="false" applyFill="true" applyFont="true" applyNumberFormat="false" applyProtection="false" borderId="116" fillId="30" fontId="38" numFmtId="0" xfId="0">
      <alignment horizontal="center" vertical="center" wrapText="true"/>
    </xf>
    <xf applyAlignment="true" applyBorder="false" applyFill="false" applyFont="true" applyNumberFormat="false" applyProtection="false" borderId="117" fillId="0" fontId="38" numFmtId="0" xfId="0">
      <alignment vertical="bottom"/>
    </xf>
    <xf applyAlignment="true" applyBorder="false" applyFill="false" applyFont="true" applyNumberFormat="true" applyProtection="false" borderId="118" fillId="0" fontId="2" numFmtId="208" xfId="0">
      <alignment vertical="bottom"/>
    </xf>
    <xf applyAlignment="true" applyBorder="false" applyFill="false" applyFont="true" applyNumberFormat="true" applyProtection="false" borderId="119" fillId="0" fontId="18" numFmtId="209" xfId="0">
      <alignment horizontal="right" vertical="center"/>
    </xf>
    <xf applyAlignment="true" applyBorder="false" applyFill="false" applyFont="true" applyNumberFormat="true" applyProtection="false" borderId="120" fillId="0" fontId="39" numFmtId="210" xfId="0">
      <alignment horizontal="center" vertical="center"/>
    </xf>
    <xf applyAlignment="true" applyBorder="false" applyFill="false" applyFont="true" applyNumberFormat="false" applyProtection="false" borderId="121" fillId="0" fontId="40" numFmtId="0" xfId="0">
      <alignment vertical="bottom"/>
    </xf>
    <xf applyAlignment="true" applyBorder="false" applyFill="false" applyFont="true" applyNumberFormat="true" applyProtection="false" borderId="122" fillId="0" fontId="2" numFmtId="211" xfId="0">
      <alignment horizontal="right" vertical="center"/>
    </xf>
    <xf applyAlignment="true" applyBorder="false" applyFill="false" applyFont="true" applyNumberFormat="true" applyProtection="false" borderId="123" fillId="0" fontId="17" numFmtId="212" xfId="0">
      <alignment horizontal="left" vertical="center" wrapText="true"/>
    </xf>
  </cellXfs>
  <cellStyles count="1">
    <cellStyle builtinId="0" name="Normal" xfId="0"/>
  </cellStyles>
  <dxfs count="3"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D9F5D6"/>
        </patternFill>
      </fill>
    </dxf>
    <dxf>
      <fill>
        <patternFill patternType="solid">
          <fgColor/>
          <bgColor rgb="FFFAD355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/xl/pivotCache/pivotCacheDefinition2.xml" Type="http://schemas.openxmlformats.org/officeDocument/2006/relationships/pivotCacheDefinition"></Relationship><Relationship Id="rId9" Target="/xl/pivotCache/pivotCacheDefinition3.xml" Type="http://schemas.openxmlformats.org/officeDocument/2006/relationships/pivotCacheDefinition"></Relationship><Relationship Id="rId10" Target="/xl/pivotCache/pivotCacheDefinition4.xml" Type="http://schemas.openxmlformats.org/officeDocument/2006/relationships/pivotCacheDefinition"></Relationship><Relationship Id="rId11" Target="worksheets/sheet4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5:$I$54" sheet="项目甘特图"/>
  </cacheSource>
  <cacheFields count="9">
    <cacheField name="任务" numFmtId="0">
      <sharedItems count="8">
        <m/>
        <s v="一、项目筹备与启动"/>
        <s v="方案设计"/>
        <s v="竞品调研"/>
        <s v="二、项目执行"/>
        <s v="输出方案"/>
        <s v="三、项目上线"/>
        <s v="四、项目复盘"/>
      </sharedItems>
    </cacheField>
    <cacheField name="负责人" numFmtId="0">
      <sharedItems count="6">
        <m/>
        <s v="输入“@+人名”提及负责人"/>
        <s v="@小唐"/>
        <s v="@小王"/>
        <s v="@小陈"/>
        <s v="@小红"/>
      </sharedItems>
    </cacheField>
    <cacheField name="状态" numFmtId="0">
      <sharedItems count="0"/>
    </cacheField>
    <cacheField name="预计开始时间" numFmtId="0">
      <sharedItems containsDate="true" containsMixedTypes="true" minDate="2023-03-01T00:00:00.000Z" maxDate="2023-03-01T00:00:00.000Z" count="0"/>
    </cacheField>
    <cacheField name="预计结束时间" numFmtId="0">
      <sharedItems containsSemiMixedTypes="false" containsNonDate="false" containsDate="true" containsString="false" minDate="2023-04-01T00:00:00.000Z" maxDate="2023-04-01T00:00:00.000Z" count="0"/>
    </cacheField>
    <cacheField name="工时预估" numFmtId="0">
      <sharedItems containsSemiMixedTypes="false" containsString="false" containsNumber="true" containsInteger="true" minValue="0" maxValue="31" count="3">
        <m/>
        <n v="31"/>
        <n v="0"/>
      </sharedItems>
    </cacheField>
    <cacheField name="实际开始时间" numFmtId="0">
      <sharedItems containsSemiMixedTypes="false" containsNonDate="false" containsDate="true" containsString="false" minDate="2023-03-01T00:00:00.000Z" maxDate="2023-03-01T00:00:00.000Z" count="0"/>
    </cacheField>
    <cacheField name="实际结束时间" numFmtId="0">
      <sharedItems containsString="false" containsBlank="true" count="0"/>
    </cacheField>
    <cacheField name="里程碑" numFmtId="0">
      <sharedItems containsMixedTypes="true" containsNumber="true" containsInteger="true" minValue="0" maxValue="1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5:$I$54" sheet="项目甘特图"/>
  </cacheSource>
  <cacheFields count="9">
    <cacheField name="任务" numFmtId="0">
      <sharedItems count="8">
        <m/>
        <s v="一、项目筹备与启动"/>
        <s v="方案设计"/>
        <s v="竞品调研"/>
        <s v="二、项目执行"/>
        <s v="输出方案"/>
        <s v="三、项目上线"/>
        <s v="四、项目复盘"/>
      </sharedItems>
    </cacheField>
    <cacheField name="负责人" numFmtId="0">
      <sharedItems count="6">
        <m/>
        <s v="输入“@+人名”提及负责人"/>
        <s v="@小唐"/>
        <s v="@小王"/>
        <s v="@小陈"/>
        <s v="@小红"/>
      </sharedItems>
    </cacheField>
    <cacheField name="状态" numFmtId="0">
      <sharedItems count="6">
        <m/>
        <s v="使用下拉列表显示任务状态"/>
        <s v="待启动 💡"/>
        <s v="进行中 🔛 "/>
        <s v="已完成 ❇️ "/>
        <s v="已延期 💥 "/>
      </sharedItems>
    </cacheField>
    <cacheField name="预计开始时间" numFmtId="0">
      <sharedItems containsDate="true" containsMixedTypes="true" minDate="2023-03-01T00:00:00.000Z" maxDate="2023-03-01T00:00:00.000Z" count="0"/>
    </cacheField>
    <cacheField name="预计结束时间" numFmtId="0">
      <sharedItems containsSemiMixedTypes="false" containsNonDate="false" containsDate="true" containsString="false" minDate="2023-04-01T00:00:00.000Z" maxDate="2023-04-01T00:00:00.000Z" count="0"/>
    </cacheField>
    <cacheField name="工时预估" numFmtId="0">
      <sharedItems containsSemiMixedTypes="false" containsString="false" containsNumber="true" containsInteger="true" minValue="0" maxValue="31" count="0"/>
    </cacheField>
    <cacheField name="实际开始时间" numFmtId="0">
      <sharedItems containsSemiMixedTypes="false" containsNonDate="false" containsDate="true" containsString="false" minDate="2023-03-01T00:00:00.000Z" maxDate="2023-03-01T00:00:00.000Z" count="0"/>
    </cacheField>
    <cacheField name="实际结束时间" numFmtId="0">
      <sharedItems containsString="false" containsBlank="true" count="0"/>
    </cacheField>
    <cacheField name="里程碑" numFmtId="0">
      <sharedItems containsMixedTypes="true" containsNumber="true" containsInteger="true" minValue="0" maxValue="1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5:$I$54" sheet="项目甘特图"/>
  </cacheSource>
  <cacheFields count="9">
    <cacheField name="任务" numFmtId="0">
      <sharedItems count="8">
        <m/>
        <s v="一、项目筹备与启动"/>
        <s v="方案设计"/>
        <s v="竞品调研"/>
        <s v="二、项目执行"/>
        <s v="输出方案"/>
        <s v="三、项目上线"/>
        <s v="四、项目复盘"/>
      </sharedItems>
    </cacheField>
    <cacheField name="负责人" numFmtId="0">
      <sharedItems count="0"/>
    </cacheField>
    <cacheField name="状态" numFmtId="0">
      <sharedItems count="6">
        <m/>
        <s v="使用下拉列表显示任务状态"/>
        <s v="待启动 💡"/>
        <s v="进行中 🔛 "/>
        <s v="已完成 ❇️ "/>
        <s v="已延期 💥 "/>
      </sharedItems>
    </cacheField>
    <cacheField name="预计开始时间" numFmtId="0">
      <sharedItems containsDate="true" containsMixedTypes="true" minDate="2023-03-01T00:00:00.000Z" maxDate="2023-03-01T00:00:00.000Z" count="0"/>
    </cacheField>
    <cacheField name="预计结束时间" numFmtId="0">
      <sharedItems containsSemiMixedTypes="false" containsNonDate="false" containsDate="true" containsString="false" minDate="2023-04-01T00:00:00.000Z" maxDate="2023-04-01T00:00:00.000Z" count="0"/>
    </cacheField>
    <cacheField name="工时预估" numFmtId="0">
      <sharedItems containsSemiMixedTypes="false" containsString="false" containsNumber="true" containsInteger="true" minValue="0" maxValue="31" count="0"/>
    </cacheField>
    <cacheField name="实际开始时间" numFmtId="0">
      <sharedItems containsSemiMixedTypes="false" containsNonDate="false" containsDate="true" containsString="false" minDate="2023-03-01T00:00:00.000Z" maxDate="2023-03-01T00:00:00.000Z" count="0"/>
    </cacheField>
    <cacheField name="实际结束时间" numFmtId="0">
      <sharedItems containsString="false" containsBlank="true" count="0"/>
    </cacheField>
    <cacheField name="里程碑" numFmtId="0">
      <sharedItems containsMixedTypes="true" containsNumber="true" containsInteger="true" minValue="0" maxValue="1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5:$I$54" sheet="项目甘特图"/>
  </cacheSource>
  <cacheFields count="9">
    <cacheField name="任务" numFmtId="0">
      <sharedItems count="8">
        <m/>
        <s v="一、项目筹备与启动"/>
        <s v="方案设计"/>
        <s v="竞品调研"/>
        <s v="二、项目执行"/>
        <s v="输出方案"/>
        <s v="三、项目上线"/>
        <s v="四、项目复盘"/>
      </sharedItems>
    </cacheField>
    <cacheField name="负责人" numFmtId="0">
      <sharedItems count="0"/>
    </cacheField>
    <cacheField name="状态" numFmtId="0">
      <sharedItems count="0"/>
    </cacheField>
    <cacheField name="预计开始时间" numFmtId="0">
      <sharedItems containsDate="true" containsMixedTypes="true" minDate="2023-03-01T00:00:00.000Z" maxDate="2023-03-01T00:00:00.000Z" count="0"/>
    </cacheField>
    <cacheField name="预计结束时间" numFmtId="0">
      <sharedItems containsSemiMixedTypes="false" containsNonDate="false" containsDate="true" containsString="false" minDate="2023-04-01T00:00:00.000Z" maxDate="2023-04-01T00:00:00.000Z" count="0"/>
    </cacheField>
    <cacheField name="工时预估" numFmtId="0">
      <sharedItems containsSemiMixedTypes="false" containsString="false" containsNumber="true" containsInteger="true" minValue="0" maxValue="31" count="0"/>
    </cacheField>
    <cacheField name="实际开始时间" numFmtId="0">
      <sharedItems containsSemiMixedTypes="false" containsNonDate="false" containsDate="true" containsString="false" minDate="2023-03-01T00:00:00.000Z" maxDate="2023-03-01T00:00:00.000Z" count="0"/>
    </cacheField>
    <cacheField name="实际结束时间" numFmtId="0">
      <sharedItems containsString="false" containsBlank="true" count="0"/>
    </cacheField>
    <cacheField name="里程碑" numFmtId="0">
      <sharedItems containsMixedTypes="true" containsNumber="true" containsInteger="true" minValue="0" maxValue="1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E$12:$G$17" firstHeaderRow="1" firstDataRow="1" firstDataCol="1"/>
  <pivotFields count="9"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false" outline="false" showAll="false" sortType="descending">
      <items count="7">
        <item h="true" x="0"/>
        <item h="true" x="1"/>
        <item x="2"/>
        <item x="3"/>
        <item x="4"/>
        <item x="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4">
        <item x="0"/>
        <item x="1"/>
        <item x="2"/>
        <item t="default"/>
      </items>
    </pivotField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2">
    <dataField name="任务数量统计" fld="0" subtotal="count"/>
    <dataField name="总工时预估" fld="5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E$24:$J$30" firstHeaderRow="1" firstDataRow="1" firstDataCol="1"/>
  <pivotFields count="9"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false" outline="false" showAll="false">
      <items count="7">
        <item x="0"/>
        <item x="1"/>
        <item x="2"/>
        <item x="3"/>
        <item x="4"/>
        <item x="5"/>
        <item t="default"/>
      </items>
    </pivotField>
    <pivotField axis="axisCol" compact="false" outline="false" showAll="false">
      <items count="7">
        <item h="true" x="0"/>
        <item h="true" x="1"/>
        <item x="2"/>
        <item x="3"/>
        <item x="4"/>
        <item x="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2"/>
  </colFields>
  <dataFields count="1">
    <dataField name="计数项:任务" fld="0" subtotal="count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B$24:$C$29" firstHeaderRow="1" firstDataRow="1" firstDataCol="1"/>
  <pivotFields count="9"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false" outline="false" showAll="false"/>
    <pivotField axis="axisRow" compact="false" outline="false" showAll="false">
      <items count="7">
        <item h="true" x="0"/>
        <item h="true" x="1"/>
        <item x="2"/>
        <item x="3"/>
        <item x="4"/>
        <item x="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2"/>
  </rowFields>
  <dataFields count="1">
    <dataField name="计数项:任务" fld="0" subtotal="count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B$12:$C$13" firstHeaderRow="1" firstDataRow="1" firstDataCol="1"/>
  <pivotFields count="9"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dataFields count="1">
    <dataField name="计数项:任务" fld="0" subtotal="count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www.feishu.cn/hc/zh-CN/articles/360049068037?from=in_ccm_template_sheets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https://www.feishu.cn/hc/zh-CN/articles/762129829042" Type="http://schemas.openxmlformats.org/officeDocument/2006/relationships/hyperlink" TargetMode="External"></Relationship><Relationship Id="rId2" Target="../pivotTables/pivotTable1.xml" Type="http://schemas.openxmlformats.org/officeDocument/2006/relationships/pivotTable"></Relationship><Relationship Id="rId3" Target="../pivotTables/pivotTable2.xml" Type="http://schemas.openxmlformats.org/officeDocument/2006/relationships/pivotTable"></Relationship><Relationship Id="rId4" Target="../pivotTables/pivotTable3.xml" Type="http://schemas.openxmlformats.org/officeDocument/2006/relationships/pivotTable"></Relationship><Relationship Id="rId5" Target="../pivotTables/pivotTable4.xml" Type="http://schemas.openxmlformats.org/officeDocument/2006/relationships/pivotTable"></Relationship><Relationship Id="rId6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https://www.feishu.cn/drive/home/?openTemplateCenter=gallery&amp;action=preview&amp;templateType=1&amp;id=7049270078684053506&amp;from=docs_bot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25"/>
    <col collapsed="false" customWidth="true" hidden="false" max="3" min="3" style="0" width="25"/>
    <col collapsed="false" customWidth="true" hidden="false" max="3" min="3" style="0" width="25"/>
    <col collapsed="false" customWidth="true" hidden="false" max="4" min="4" style="0" width="25"/>
    <col collapsed="false" customWidth="true" hidden="false" max="4" min="4" style="0" width="25"/>
    <col collapsed="false" customWidth="true" hidden="false" max="5" min="5" style="0" width="25"/>
    <col collapsed="false" customWidth="true" hidden="false" max="6" min="6" style="0" width="20"/>
    <col collapsed="false" customWidth="true" hidden="true" max="6" min="6" style="0" width="20"/>
    <col collapsed="false" customWidth="true" hidden="false" max="7" min="7" style="0" width="25"/>
    <col collapsed="false" customWidth="true" hidden="false" max="8" min="8" style="0" width="25"/>
    <col collapsed="false" customWidth="true" hidden="false" max="9" min="9" style="0" width="25"/>
    <col collapsed="false" customWidth="true" hidden="false" max="10" min="10" style="0" width="36"/>
    <col collapsed="false" customWidth="true" hidden="false" max="10" min="10" style="0" width="36"/>
    <col collapsed="false" customWidth="true" hidden="false" max="11" min="11" style="0" width="5"/>
    <col collapsed="false" customWidth="true" hidden="false" max="11" min="11" style="0" width="5"/>
    <col collapsed="false" customWidth="true" hidden="false" max="12" min="12" style="0" width="5"/>
    <col collapsed="false" customWidth="true" hidden="false" max="12" min="12" style="0" width="5"/>
    <col collapsed="false" customWidth="true" hidden="false" max="13" min="13" style="0" width="5"/>
    <col collapsed="false" customWidth="true" hidden="false" max="13" min="13" style="0" width="5"/>
    <col collapsed="false" customWidth="true" hidden="false" max="14" min="14" style="0" width="5"/>
    <col collapsed="false" customWidth="true" hidden="false" max="14" min="14" style="0" width="5"/>
    <col collapsed="false" customWidth="true" hidden="false" max="15" min="15" style="0" width="5"/>
    <col collapsed="false" customWidth="true" hidden="false" max="15" min="15" style="0" width="5"/>
    <col collapsed="false" customWidth="true" hidden="false" max="16" min="16" style="0" width="5"/>
    <col collapsed="false" customWidth="true" hidden="false" max="16" min="16" style="0" width="5"/>
    <col collapsed="false" customWidth="true" hidden="false" max="17" min="17" style="0" width="5"/>
    <col collapsed="false" customWidth="true" hidden="false" max="17" min="17" style="0" width="5"/>
    <col collapsed="false" customWidth="true" hidden="false" max="18" min="18" style="0" width="5"/>
    <col collapsed="false" customWidth="true" hidden="false" max="18" min="18" style="0" width="5"/>
    <col collapsed="false" customWidth="true" hidden="false" max="19" min="19" style="0" width="5"/>
    <col collapsed="false" customWidth="true" hidden="false" max="19" min="19" style="0" width="5"/>
    <col collapsed="false" customWidth="true" hidden="false" max="20" min="20" style="0" width="5"/>
    <col collapsed="false" customWidth="true" hidden="false" max="20" min="20" style="0" width="5"/>
    <col collapsed="false" customWidth="true" hidden="false" max="21" min="21" style="0" width="5"/>
    <col collapsed="false" customWidth="true" hidden="false" max="21" min="21" style="0" width="5"/>
    <col collapsed="false" customWidth="true" hidden="false" max="22" min="22" style="0" width="5"/>
    <col collapsed="false" customWidth="true" hidden="false" max="22" min="22" style="0" width="5"/>
    <col collapsed="false" customWidth="true" hidden="false" max="23" min="23" style="0" width="5"/>
    <col collapsed="false" customWidth="true" hidden="false" max="23" min="23" style="0" width="5"/>
    <col collapsed="false" customWidth="true" hidden="false" max="24" min="24" style="0" width="5"/>
    <col collapsed="false" customWidth="true" hidden="false" max="24" min="24" style="0" width="5"/>
    <col collapsed="false" customWidth="true" hidden="false" max="25" min="25" style="0" width="5"/>
    <col collapsed="false" customWidth="true" hidden="false" max="25" min="25" style="0" width="5"/>
    <col collapsed="false" customWidth="true" hidden="false" max="26" min="26" style="0" width="5"/>
    <col collapsed="false" customWidth="true" hidden="false" max="26" min="26" style="0" width="5"/>
    <col collapsed="false" customWidth="true" hidden="false" max="27" min="27" style="0" width="5"/>
    <col collapsed="false" customWidth="true" hidden="false" max="27" min="27" style="0" width="5"/>
    <col collapsed="false" customWidth="true" hidden="false" max="28" min="28" style="0" width="5"/>
    <col collapsed="false" customWidth="true" hidden="false" max="28" min="28" style="0" width="5"/>
    <col collapsed="false" customWidth="true" hidden="false" max="29" min="29" style="0" width="5"/>
    <col collapsed="false" customWidth="true" hidden="false" max="29" min="29" style="0" width="5"/>
    <col collapsed="false" customWidth="true" hidden="false" max="30" min="30" style="0" width="5"/>
    <col collapsed="false" customWidth="true" hidden="false" max="30" min="30" style="0" width="5"/>
    <col collapsed="false" customWidth="true" hidden="false" max="31" min="31" style="0" width="5"/>
    <col collapsed="false" customWidth="true" hidden="false" max="31" min="31" style="0" width="5"/>
    <col collapsed="false" customWidth="true" hidden="false" max="32" min="32" style="0" width="5"/>
    <col collapsed="false" customWidth="true" hidden="false" max="32" min="32" style="0" width="5"/>
    <col collapsed="false" customWidth="true" hidden="false" max="33" min="33" style="0" width="5"/>
    <col collapsed="false" customWidth="true" hidden="false" max="33" min="33" style="0" width="5"/>
    <col collapsed="false" customWidth="true" hidden="false" max="34" min="34" style="0" width="5"/>
    <col collapsed="false" customWidth="true" hidden="false" max="34" min="34" style="0" width="5"/>
    <col collapsed="false" customWidth="true" hidden="false" max="35" min="35" style="0" width="5"/>
    <col collapsed="false" customWidth="true" hidden="false" max="35" min="35" style="0" width="5"/>
    <col collapsed="false" customWidth="true" hidden="false" max="36" min="36" style="0" width="5"/>
    <col collapsed="false" customWidth="true" hidden="false" max="36" min="36" style="0" width="5"/>
    <col collapsed="false" customWidth="true" hidden="false" max="37" min="37" style="0" width="5"/>
    <col collapsed="false" customWidth="true" hidden="false" max="37" min="37" style="0" width="5"/>
    <col collapsed="false" customWidth="true" hidden="false" max="38" min="38" style="0" width="5"/>
    <col collapsed="false" customWidth="true" hidden="false" max="38" min="38" style="0" width="5"/>
    <col collapsed="false" customWidth="true" hidden="false" max="39" min="39" style="0" width="5"/>
    <col collapsed="false" customWidth="true" hidden="false" max="39" min="39" style="0" width="5"/>
    <col collapsed="false" customWidth="true" hidden="false" max="40" min="40" style="0" width="5"/>
    <col collapsed="false" customWidth="true" hidden="false" max="40" min="40" style="0" width="5"/>
    <col collapsed="false" customWidth="true" hidden="false" max="41" min="41" style="0" width="5"/>
    <col collapsed="false" customWidth="true" hidden="false" max="41" min="41" style="0" width="5"/>
    <col collapsed="false" customWidth="true" hidden="false" max="42" min="42" style="0" width="5"/>
    <col collapsed="false" customWidth="true" hidden="false" max="42" min="42" style="0" width="5"/>
    <col collapsed="false" customWidth="true" hidden="false" max="43" min="43" style="0" width="5"/>
    <col collapsed="false" customWidth="true" hidden="false" max="43" min="43" style="0" width="5"/>
    <col collapsed="false" customWidth="true" hidden="false" max="44" min="44" style="0" width="5"/>
    <col collapsed="false" customWidth="true" hidden="false" max="44" min="44" style="0" width="5"/>
    <col collapsed="false" customWidth="true" hidden="false" max="45" min="45" style="0" width="5"/>
    <col collapsed="false" customWidth="true" hidden="false" max="45" min="45" style="0" width="5"/>
    <col collapsed="false" customWidth="true" hidden="false" max="46" min="46" style="0" width="5"/>
    <col collapsed="false" customWidth="true" hidden="false" max="46" min="46" style="0" width="5"/>
    <col collapsed="false" customWidth="true" hidden="false" max="47" min="47" style="0" width="5"/>
    <col collapsed="false" customWidth="true" hidden="false" max="47" min="47" style="0" width="5"/>
    <col collapsed="false" customWidth="true" hidden="false" max="48" min="48" style="0" width="5"/>
    <col collapsed="false" customWidth="true" hidden="false" max="48" min="48" style="0" width="5"/>
    <col collapsed="false" customWidth="true" hidden="false" max="49" min="49" style="0" width="5"/>
    <col collapsed="false" customWidth="true" hidden="false" max="49" min="49" style="0" width="5"/>
    <col collapsed="false" customWidth="true" hidden="false" max="50" min="50" style="0" width="5"/>
    <col collapsed="false" customWidth="true" hidden="false" max="50" min="50" style="0" width="5"/>
    <col collapsed="false" customWidth="true" hidden="false" max="51" min="51" style="0" width="5"/>
    <col collapsed="false" customWidth="true" hidden="false" max="51" min="51" style="0" width="5"/>
    <col collapsed="false" customWidth="true" hidden="false" max="52" min="52" style="0" width="5"/>
    <col collapsed="false" customWidth="true" hidden="false" max="52" min="52" style="0" width="5"/>
    <col collapsed="false" customWidth="true" hidden="false" max="53" min="53" style="0" width="5"/>
    <col collapsed="false" customWidth="true" hidden="false" max="53" min="53" style="0" width="5"/>
    <col collapsed="false" customWidth="true" hidden="false" max="54" min="54" style="0" width="5"/>
    <col collapsed="false" customWidth="true" hidden="false" max="54" min="54" style="0" width="5"/>
    <col collapsed="false" customWidth="true" hidden="false" max="55" min="55" style="0" width="5"/>
    <col collapsed="false" customWidth="true" hidden="false" max="55" min="55" style="0" width="5"/>
    <col collapsed="false" customWidth="true" hidden="false" max="56" min="56" style="0" width="5"/>
    <col collapsed="false" customWidth="true" hidden="false" max="56" min="56" style="0" width="5"/>
    <col collapsed="false" customWidth="true" hidden="false" max="57" min="57" style="0" width="5"/>
    <col collapsed="false" customWidth="true" hidden="false" max="57" min="57" style="0" width="5"/>
    <col collapsed="false" customWidth="true" hidden="false" max="58" min="58" style="0" width="5"/>
    <col collapsed="false" customWidth="true" hidden="false" max="58" min="58" style="0" width="5"/>
    <col collapsed="false" customWidth="true" hidden="false" max="59" min="59" style="0" width="5"/>
    <col collapsed="false" customWidth="true" hidden="false" max="59" min="59" style="0" width="5"/>
    <col collapsed="false" customWidth="true" hidden="false" max="60" min="60" style="0" width="5"/>
    <col collapsed="false" customWidth="true" hidden="false" max="60" min="60" style="0" width="5"/>
    <col collapsed="false" customWidth="true" hidden="false" max="61" min="61" style="0" width="5"/>
    <col collapsed="false" customWidth="true" hidden="false" max="61" min="61" style="0" width="5"/>
    <col collapsed="false" customWidth="true" hidden="false" max="62" min="62" style="0" width="5"/>
    <col collapsed="false" customWidth="true" hidden="false" max="62" min="62" style="0" width="5"/>
    <col collapsed="false" customWidth="true" hidden="false" max="63" min="63" style="0" width="5"/>
    <col collapsed="false" customWidth="true" hidden="false" max="63" min="63" style="0" width="5"/>
    <col collapsed="false" customWidth="true" hidden="false" max="64" min="64" style="0" width="5"/>
    <col collapsed="false" customWidth="true" hidden="false" max="64" min="64" style="0" width="5"/>
    <col collapsed="false" customWidth="true" hidden="false" max="65" min="65" style="0" width="5"/>
    <col collapsed="false" customWidth="true" hidden="false" max="65" min="65" style="0" width="5"/>
    <col collapsed="false" customWidth="true" hidden="false" max="66" min="66" style="0" width="5"/>
    <col collapsed="false" customWidth="true" hidden="false" max="66" min="66" style="0" width="5"/>
    <col collapsed="false" customWidth="true" hidden="false" max="67" min="67" style="0" width="5"/>
    <col collapsed="false" customWidth="true" hidden="false" max="67" min="67" style="0" width="5"/>
    <col collapsed="false" customWidth="true" hidden="false" max="68" min="68" style="0" width="5"/>
    <col collapsed="false" customWidth="true" hidden="false" max="68" min="68" style="0" width="5"/>
    <col collapsed="false" customWidth="true" hidden="false" max="69" min="69" style="0" width="5"/>
    <col collapsed="false" customWidth="true" hidden="false" max="69" min="69" style="0" width="5"/>
    <col collapsed="false" customWidth="true" hidden="false" max="70" min="70" style="0" width="5"/>
    <col collapsed="false" customWidth="true" hidden="false" max="70" min="70" style="0" width="5"/>
    <col collapsed="false" customWidth="true" hidden="false" max="71" min="71" style="0" width="5"/>
    <col collapsed="false" customWidth="true" hidden="false" max="71" min="71" style="0" width="5"/>
    <col collapsed="false" customWidth="true" hidden="false" max="72" min="72" style="0" width="5"/>
    <col collapsed="false" customWidth="true" hidden="false" max="72" min="72" style="0" width="5"/>
    <col collapsed="false" customWidth="true" hidden="false" max="73" min="73" style="0" width="5"/>
    <col collapsed="false" customWidth="true" hidden="false" max="73" min="73" style="0" width="5"/>
    <col collapsed="false" customWidth="true" hidden="false" max="74" min="74" style="0" width="5"/>
    <col collapsed="false" customWidth="true" hidden="false" max="74" min="74" style="0" width="5"/>
    <col collapsed="false" customWidth="true" hidden="false" max="75" min="75" style="0" width="5"/>
    <col collapsed="false" customWidth="true" hidden="false" max="75" min="75" style="0" width="5"/>
    <col collapsed="false" customWidth="true" hidden="false" max="76" min="76" style="0" width="5"/>
    <col collapsed="false" customWidth="true" hidden="false" max="76" min="76" style="0" width="5"/>
    <col collapsed="false" customWidth="true" hidden="false" max="77" min="77" style="0" width="5"/>
    <col collapsed="false" customWidth="true" hidden="false" max="77" min="77" style="0" width="5"/>
    <col collapsed="false" customWidth="true" hidden="false" max="78" min="78" style="0" width="5"/>
    <col collapsed="false" customWidth="true" hidden="false" max="78" min="78" style="0" width="5"/>
    <col collapsed="false" customWidth="true" hidden="false" max="79" min="79" style="0" width="5"/>
    <col collapsed="false" customWidth="true" hidden="false" max="79" min="79" style="0" width="5"/>
    <col collapsed="false" customWidth="true" hidden="false" max="80" min="80" style="0" width="5"/>
    <col collapsed="false" customWidth="true" hidden="false" max="80" min="80" style="0" width="5"/>
    <col collapsed="false" customWidth="true" hidden="false" max="81" min="81" style="0" width="5"/>
    <col collapsed="false" customWidth="true" hidden="false" max="81" min="81" style="0" width="5"/>
    <col collapsed="false" customWidth="true" hidden="false" max="82" min="82" style="0" width="5"/>
    <col collapsed="false" customWidth="true" hidden="false" max="82" min="82" style="0" width="5"/>
    <col collapsed="false" customWidth="true" hidden="false" max="83" min="83" style="0" width="5"/>
    <col collapsed="false" customWidth="true" hidden="false" max="83" min="83" style="0" width="5"/>
    <col collapsed="false" customWidth="true" hidden="false" max="84" min="84" style="0" width="5"/>
    <col collapsed="false" customWidth="true" hidden="false" max="84" min="84" style="0" width="5"/>
    <col collapsed="false" customWidth="true" hidden="false" max="85" min="85" style="0" width="5"/>
    <col collapsed="false" customWidth="true" hidden="false" max="85" min="85" style="0" width="5"/>
    <col collapsed="false" customWidth="true" hidden="false" max="86" min="86" style="0" width="5"/>
    <col collapsed="false" customWidth="true" hidden="false" max="86" min="86" style="0" width="5"/>
    <col collapsed="false" customWidth="true" hidden="false" max="87" min="87" style="0" width="5"/>
    <col collapsed="false" customWidth="true" hidden="false" max="87" min="87" style="0" width="5"/>
    <col collapsed="false" customWidth="true" hidden="false" max="88" min="88" style="0" width="5"/>
    <col collapsed="false" customWidth="true" hidden="false" max="88" min="88" style="0" width="5"/>
    <col collapsed="false" customWidth="true" hidden="false" max="89" min="89" style="0" width="5"/>
    <col collapsed="false" customWidth="true" hidden="false" max="89" min="89" style="0" width="5"/>
    <col collapsed="false" customWidth="true" hidden="false" max="90" min="90" style="0" width="5"/>
    <col collapsed="false" customWidth="true" hidden="false" max="90" min="90" style="0" width="5"/>
    <col collapsed="false" customWidth="true" hidden="false" max="91" min="91" style="0" width="5"/>
    <col collapsed="false" customWidth="true" hidden="false" max="91" min="91" style="0" width="5"/>
    <col collapsed="false" customWidth="true" hidden="false" max="92" min="92" style="0" width="5"/>
    <col collapsed="false" customWidth="true" hidden="false" max="92" min="92" style="0" width="5"/>
    <col collapsed="false" customWidth="true" hidden="false" max="93" min="93" style="0" width="5"/>
    <col collapsed="false" customWidth="true" hidden="false" max="93" min="93" style="0" width="5"/>
    <col collapsed="false" customWidth="true" hidden="false" max="94" min="94" style="0" width="5"/>
    <col collapsed="false" customWidth="true" hidden="false" max="94" min="94" style="0" width="5"/>
    <col collapsed="false" customWidth="true" hidden="false" max="95" min="95" style="0" width="5"/>
    <col collapsed="false" customWidth="true" hidden="false" max="95" min="95" style="0" width="5"/>
    <col collapsed="false" customWidth="true" hidden="false" max="96" min="96" style="0" width="5"/>
    <col collapsed="false" customWidth="true" hidden="false" max="96" min="96" style="0" width="5"/>
    <col collapsed="false" customWidth="true" hidden="false" max="97" min="97" style="0" width="5"/>
    <col collapsed="false" customWidth="true" hidden="false" max="97" min="97" style="0" width="5"/>
    <col collapsed="false" customWidth="true" hidden="false" max="98" min="98" style="0" width="5"/>
    <col collapsed="false" customWidth="true" hidden="false" max="98" min="98" style="0" width="5"/>
    <col collapsed="false" customWidth="true" hidden="false" max="99" min="99" style="0" width="5"/>
    <col collapsed="false" customWidth="true" hidden="false" max="99" min="99" style="0" width="5"/>
    <col collapsed="false" customWidth="true" hidden="false" max="100" min="100" style="0" width="5"/>
    <col collapsed="false" customWidth="true" hidden="false" max="100" min="100" style="0" width="5"/>
    <col collapsed="false" customWidth="true" hidden="false" max="101" min="101" style="0" width="5"/>
    <col collapsed="false" customWidth="true" hidden="false" max="101" min="101" style="0" width="5"/>
    <col collapsed="false" customWidth="true" hidden="false" max="102" min="102" style="0" width="5"/>
    <col collapsed="false" customWidth="true" hidden="false" max="102" min="102" style="0" width="5"/>
    <col collapsed="false" customWidth="true" hidden="false" max="103" min="103" style="0" width="5"/>
    <col collapsed="false" customWidth="true" hidden="false" max="103" min="103" style="0" width="5"/>
    <col collapsed="false" customWidth="true" hidden="false" max="104" min="104" style="0" width="5"/>
    <col collapsed="false" customWidth="true" hidden="false" max="104" min="104" style="0" width="5"/>
    <col collapsed="false" customWidth="true" hidden="false" max="105" min="105" style="0" width="5"/>
    <col collapsed="false" customWidth="true" hidden="false" max="105" min="105" style="0" width="5"/>
    <col collapsed="false" customWidth="true" hidden="false" max="106" min="106" style="0" width="5"/>
    <col collapsed="false" customWidth="true" hidden="false" max="106" min="106" style="0" width="5"/>
    <col collapsed="false" customWidth="true" hidden="false" max="107" min="107" style="0" width="5"/>
    <col collapsed="false" customWidth="true" hidden="false" max="107" min="107" style="0" width="5"/>
    <col collapsed="false" customWidth="true" hidden="false" max="108" min="108" style="0" width="5"/>
    <col collapsed="false" customWidth="true" hidden="false" max="108" min="108" style="0" width="5"/>
    <col collapsed="false" customWidth="true" hidden="false" max="109" min="109" style="0" width="5"/>
    <col collapsed="false" customWidth="true" hidden="false" max="109" min="109" style="0" width="5"/>
    <col collapsed="false" customWidth="true" hidden="false" max="110" min="110" style="0" width="5"/>
    <col collapsed="false" customWidth="true" hidden="false" max="110" min="110" style="0" width="5"/>
    <col collapsed="false" customWidth="true" hidden="false" max="111" min="111" style="0" width="5"/>
    <col collapsed="false" customWidth="true" hidden="false" max="111" min="111" style="0" width="5"/>
    <col collapsed="false" customWidth="true" hidden="false" max="112" min="112" style="0" width="5"/>
    <col collapsed="false" customWidth="true" hidden="false" max="112" min="112" style="0" width="5"/>
    <col collapsed="false" customWidth="true" hidden="false" max="113" min="113" style="0" width="5"/>
    <col collapsed="false" customWidth="true" hidden="false" max="113" min="113" style="0" width="5"/>
    <col collapsed="false" customWidth="true" hidden="false" max="114" min="114" style="0" width="5"/>
    <col collapsed="false" customWidth="true" hidden="false" max="114" min="114" style="0" width="5"/>
    <col collapsed="false" customWidth="true" hidden="false" max="115" min="115" style="0" width="5"/>
    <col collapsed="false" customWidth="true" hidden="false" max="115" min="115" style="0" width="5"/>
    <col collapsed="false" customWidth="true" hidden="false" max="116" min="116" style="0" width="5"/>
    <col collapsed="false" customWidth="true" hidden="false" max="116" min="116" style="0" width="5"/>
    <col collapsed="false" customWidth="true" hidden="false" max="117" min="117" style="0" width="5"/>
    <col collapsed="false" customWidth="true" hidden="false" max="117" min="117" style="0" width="5"/>
    <col collapsed="false" customWidth="true" hidden="false" max="118" min="118" style="0" width="5"/>
    <col collapsed="false" customWidth="true" hidden="false" max="118" min="118" style="0" width="5"/>
    <col collapsed="false" customWidth="true" hidden="false" max="119" min="119" style="0" width="5"/>
    <col collapsed="false" customWidth="true" hidden="false" max="119" min="119" style="0" width="5"/>
    <col collapsed="false" customWidth="true" hidden="false" max="120" min="120" style="0" width="5"/>
    <col collapsed="false" customWidth="true" hidden="false" max="120" min="120" style="0" width="5"/>
    <col collapsed="false" customWidth="true" hidden="false" max="121" min="121" style="0" width="5"/>
    <col collapsed="false" customWidth="true" hidden="false" max="121" min="121" style="0" width="5"/>
    <col collapsed="false" customWidth="true" hidden="false" max="122" min="122" style="0" width="5"/>
    <col collapsed="false" customWidth="true" hidden="false" max="122" min="122" style="0" width="5"/>
    <col collapsed="false" customWidth="true" hidden="false" max="123" min="123" style="0" width="5"/>
    <col collapsed="false" customWidth="true" hidden="false" max="123" min="123" style="0" width="5"/>
    <col collapsed="false" customWidth="true" hidden="false" max="124" min="124" style="0" width="5"/>
    <col collapsed="false" customWidth="true" hidden="false" max="124" min="124" style="0" width="5"/>
    <col collapsed="false" customWidth="true" hidden="false" max="125" min="125" style="0" width="5"/>
    <col collapsed="false" customWidth="true" hidden="false" max="125" min="125" style="0" width="5"/>
    <col collapsed="false" customWidth="true" hidden="false" max="126" min="126" style="0" width="5"/>
    <col collapsed="false" customWidth="true" hidden="false" max="126" min="126" style="0" width="5"/>
    <col collapsed="false" customWidth="true" hidden="false" max="127" min="127" style="0" width="5"/>
    <col collapsed="false" customWidth="true" hidden="false" max="127" min="127" style="0" width="5"/>
    <col collapsed="false" customWidth="true" hidden="false" max="128" min="128" style="0" width="5"/>
    <col collapsed="false" customWidth="true" hidden="false" max="128" min="128" style="0" width="5"/>
    <col collapsed="false" customWidth="true" hidden="false" max="129" min="129" style="0" width="5"/>
    <col collapsed="false" customWidth="true" hidden="false" max="130" min="130" style="0" width="5"/>
  </cols>
  <sheetData>
    <row r="1">
      <c r="A1" s="48" t="str">
        <v>需求迭代
</v>
      </c>
      <c r="B1" s="48"/>
      <c r="C1" s="48"/>
      <c r="D1" s="48"/>
      <c r="E1" s="48"/>
      <c r="F1" s="48"/>
      <c r="G1" s="48"/>
      <c r="H1" s="48"/>
      <c r="I1" s="48"/>
      <c r="J1" s="48"/>
      <c r="K1" s="52"/>
      <c r="L1" s="52"/>
      <c r="M1" s="51"/>
      <c r="N1" s="51"/>
      <c r="O1" s="51"/>
      <c r="P1" s="51"/>
      <c r="Q1" s="51"/>
      <c r="R1" s="53"/>
      <c r="S1" s="53"/>
      <c r="T1" s="53"/>
      <c r="U1" s="53"/>
      <c r="V1" s="46"/>
      <c r="W1" s="46"/>
      <c r="X1" s="46"/>
      <c r="Y1" s="46"/>
      <c r="Z1" s="46"/>
      <c r="AA1" s="46"/>
      <c r="AB1" s="45"/>
      <c r="AC1" s="45"/>
      <c r="AD1" s="45"/>
      <c r="AE1" s="49"/>
      <c r="AF1" s="49"/>
      <c r="AG1" s="49"/>
      <c r="AH1" s="49"/>
      <c r="AI1" s="50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</row>
    <row r="2">
      <c r="A2" s="63" t="str">
        <v>部门</v>
      </c>
      <c r="B2" s="63" t="str">
        <v>部门名称</v>
      </c>
      <c r="C2" s="63" t="str">
        <v>项目负责人</v>
      </c>
      <c r="D2" s="62"/>
      <c r="E2" s="62" t="str">
        <v>输入“@+人名”提及负责人</v>
      </c>
      <c r="F2" s="62"/>
      <c r="G2" s="62"/>
      <c r="H2" s="62"/>
      <c r="I2" s="68"/>
      <c r="J2" s="68"/>
      <c r="K2" s="61"/>
      <c r="L2" s="69"/>
      <c r="M2" s="58"/>
      <c r="N2" s="66"/>
      <c r="O2" s="67"/>
      <c r="P2" s="58"/>
      <c r="Q2" s="58"/>
      <c r="R2" s="57"/>
      <c r="S2" s="59"/>
      <c r="T2" s="59"/>
      <c r="U2" s="71"/>
      <c r="V2" s="70"/>
      <c r="W2" s="59"/>
      <c r="X2" s="72"/>
      <c r="Y2" s="59"/>
      <c r="Z2" s="59"/>
      <c r="AA2" s="61"/>
      <c r="AB2" s="59"/>
      <c r="AC2" s="59"/>
      <c r="AD2" s="60"/>
      <c r="AE2" s="59"/>
      <c r="AF2" s="59"/>
      <c r="AG2" s="64"/>
      <c r="AH2" s="59"/>
      <c r="AI2" s="59"/>
      <c r="AJ2" s="65"/>
      <c r="AK2" s="59"/>
      <c r="AL2" s="59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</row>
    <row r="3">
      <c r="A3" s="87" t="str">
        <v>启动日期 (更改后自动更新）</v>
      </c>
      <c r="B3" s="85">
        <v>44986</v>
      </c>
      <c r="C3" s="84" t="str">
        <v>完成时间</v>
      </c>
      <c r="D3" s="85"/>
      <c r="E3" s="85">
        <v>45078</v>
      </c>
      <c r="F3" s="85"/>
      <c r="G3" s="85"/>
      <c r="H3" s="85"/>
      <c r="I3" s="82"/>
      <c r="J3" s="82"/>
      <c r="K3" s="67"/>
      <c r="L3" s="81"/>
      <c r="M3" s="58"/>
      <c r="N3" s="83"/>
      <c r="O3" s="58"/>
      <c r="P3" s="58"/>
      <c r="Q3" s="58"/>
      <c r="R3" s="78"/>
      <c r="S3" s="88"/>
      <c r="T3" s="89"/>
      <c r="U3" s="47"/>
      <c r="V3" s="47"/>
      <c r="W3" s="79"/>
      <c r="X3" s="80"/>
      <c r="Y3" s="80"/>
      <c r="Z3" s="80"/>
      <c r="AA3" s="88"/>
      <c r="AB3" s="88"/>
      <c r="AC3" s="88"/>
      <c r="AD3" s="89"/>
      <c r="AE3" s="86"/>
      <c r="AF3" s="86"/>
      <c r="AG3" s="86"/>
      <c r="AH3" s="56"/>
      <c r="AI3" s="56"/>
      <c r="AJ3" s="79"/>
      <c r="AK3" s="80"/>
      <c r="AL3" s="80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</row>
    <row r="4">
      <c r="A4" s="87" t="str">
        <v>当前日期</v>
      </c>
      <c r="B4" s="85">
        <f>TODAY()</f>
      </c>
      <c r="C4" s="84" t="str">
        <v>剩余时间</v>
      </c>
      <c r="D4" s="96"/>
      <c r="E4" s="96">
        <f>E3-B4</f>
      </c>
      <c r="F4" s="96"/>
      <c r="G4" s="96"/>
      <c r="H4" s="96"/>
      <c r="I4" s="97"/>
      <c r="J4" s="97"/>
      <c r="K4" s="88"/>
      <c r="L4" s="98"/>
      <c r="M4" s="92" t="str">
        <v>待启动</v>
      </c>
      <c r="N4" s="99"/>
      <c r="O4" s="100"/>
      <c r="P4" s="92" t="str">
        <v>进行中</v>
      </c>
      <c r="Q4" s="101"/>
      <c r="R4" s="102"/>
      <c r="S4" s="92" t="str">
        <v>已延期</v>
      </c>
      <c r="T4" s="103"/>
      <c r="U4" s="47"/>
      <c r="V4" s="47"/>
      <c r="W4" s="104"/>
      <c r="X4" s="92"/>
      <c r="Y4" s="92"/>
      <c r="Z4" s="105"/>
      <c r="AA4" s="106"/>
      <c r="AB4" s="92"/>
      <c r="AC4" s="92"/>
      <c r="AD4" s="93"/>
      <c r="AE4" s="94"/>
      <c r="AF4" s="94"/>
      <c r="AG4" s="95"/>
      <c r="AH4" s="94"/>
      <c r="AI4" s="94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</row>
    <row r="5">
      <c r="A5" s="8" t="str">
        <v>任务</v>
      </c>
      <c r="B5" s="8" t="str">
        <v>负责人</v>
      </c>
      <c r="C5" s="8" t="str">
        <v>状态</v>
      </c>
      <c r="D5" s="11" t="str">
        <v>预计开始时间</v>
      </c>
      <c r="E5" s="10" t="str">
        <v>预计结束时间</v>
      </c>
      <c r="F5" s="10" t="str">
        <v>工时预估</v>
      </c>
      <c r="G5" s="10" t="str">
        <v>实际开始时间</v>
      </c>
      <c r="H5" s="10" t="str">
        <v>实际结束时间</v>
      </c>
      <c r="I5" s="8" t="str">
        <v>里程碑</v>
      </c>
      <c r="J5" s="8" t="str">
        <v>备注与附件</v>
      </c>
      <c r="K5" s="9">
        <f>$B$3+COLUMN()-COLUMN($K$5)</f>
      </c>
      <c r="L5" s="9">
        <f>$B$3+COLUMN()-COLUMN($K$5)</f>
      </c>
      <c r="M5" s="9">
        <f>$B$3+COLUMN()-COLUMN($K$5)</f>
      </c>
      <c r="N5" s="9">
        <f>$B$3+COLUMN()-COLUMN($K$5)</f>
      </c>
      <c r="O5" s="9">
        <f>$B$3+COLUMN()-COLUMN($K$5)</f>
      </c>
      <c r="P5" s="9">
        <f>$B$3+COLUMN()-COLUMN($K$5)</f>
      </c>
      <c r="Q5" s="9">
        <f>$B$3+COLUMN()-COLUMN($K$5)</f>
      </c>
      <c r="R5" s="9">
        <f>$B$3+COLUMN()-COLUMN($K$5)</f>
      </c>
      <c r="S5" s="9">
        <f>$B$3+COLUMN()-COLUMN($K$5)</f>
      </c>
      <c r="T5" s="9">
        <f>$B$3+COLUMN()-COLUMN($K$5)</f>
      </c>
      <c r="U5" s="9">
        <f>$B$3+COLUMN()-COLUMN($K$5)</f>
      </c>
      <c r="V5" s="9">
        <f>$B$3+COLUMN()-COLUMN($K$5)</f>
      </c>
      <c r="W5" s="9">
        <f>$B$3+COLUMN()-COLUMN($K$5)</f>
      </c>
      <c r="X5" s="9">
        <f>$B$3+COLUMN()-COLUMN($K$5)</f>
      </c>
      <c r="Y5" s="9">
        <f>$B$3+COLUMN()-COLUMN($K$5)</f>
      </c>
      <c r="Z5" s="9">
        <f>$B$3+COLUMN()-COLUMN($K$5)</f>
      </c>
      <c r="AA5" s="9">
        <f>$B$3+COLUMN()-COLUMN($K$5)</f>
      </c>
      <c r="AB5" s="9">
        <f>$B$3+COLUMN()-COLUMN($K$5)</f>
      </c>
      <c r="AC5" s="9">
        <f>$B$3+COLUMN()-COLUMN($K$5)</f>
      </c>
      <c r="AD5" s="9">
        <f>$B$3+COLUMN()-COLUMN($K$5)</f>
      </c>
      <c r="AE5" s="9">
        <f>$B$3+COLUMN()-COLUMN($K$5)</f>
      </c>
      <c r="AF5" s="9">
        <f>$B$3+COLUMN()-COLUMN($K$5)</f>
      </c>
      <c r="AG5" s="9">
        <f>$B$3+COLUMN()-COLUMN($K$5)</f>
      </c>
      <c r="AH5" s="9">
        <f>$B$3+COLUMN()-COLUMN($K$5)</f>
      </c>
      <c r="AI5" s="9">
        <f>$B$3+COLUMN()-COLUMN($K$5)</f>
      </c>
      <c r="AJ5" s="9">
        <f>$B$3+COLUMN()-COLUMN($K$5)</f>
      </c>
      <c r="AK5" s="9">
        <f>$B$3+COLUMN()-COLUMN($K$5)</f>
      </c>
      <c r="AL5" s="9">
        <f>$B$3+COLUMN()-COLUMN($K$5)</f>
      </c>
      <c r="AM5" s="9">
        <f>$B$3+COLUMN()-COLUMN($K$5)</f>
      </c>
      <c r="AN5" s="9">
        <f>$B$3+COLUMN()-COLUMN($K$5)</f>
      </c>
      <c r="AO5" s="9">
        <f>$B$3+COLUMN()-COLUMN($K$5)</f>
      </c>
      <c r="AP5" s="9">
        <f>$B$3+COLUMN()-COLUMN($K$5)</f>
      </c>
      <c r="AQ5" s="9">
        <f>$B$3+COLUMN()-COLUMN($K$5)</f>
      </c>
      <c r="AR5" s="9">
        <f>$B$3+COLUMN()-COLUMN($K$5)</f>
      </c>
      <c r="AS5" s="9">
        <f>$B$3+COLUMN()-COLUMN($K$5)</f>
      </c>
      <c r="AT5" s="9">
        <f>$B$3+COLUMN()-COLUMN($K$5)</f>
      </c>
      <c r="AU5" s="9">
        <f>$B$3+COLUMN()-COLUMN($K$5)</f>
      </c>
      <c r="AV5" s="9">
        <f>$B$3+COLUMN()-COLUMN($K$5)</f>
      </c>
      <c r="AW5" s="9">
        <f>$B$3+COLUMN()-COLUMN($K$5)</f>
      </c>
      <c r="AX5" s="9">
        <f>$B$3+COLUMN()-COLUMN($K$5)</f>
      </c>
      <c r="AY5" s="9">
        <f>$B$3+COLUMN()-COLUMN($K$5)</f>
      </c>
      <c r="AZ5" s="9">
        <f>$B$3+COLUMN()-COLUMN($K$5)</f>
      </c>
      <c r="BA5" s="9">
        <f>$B$3+COLUMN()-COLUMN($K$5)</f>
      </c>
      <c r="BB5" s="9">
        <f>$B$3+COLUMN()-COLUMN($K$5)</f>
      </c>
      <c r="BC5" s="9">
        <f>$B$3+COLUMN()-COLUMN($K$5)</f>
      </c>
      <c r="BD5" s="9">
        <f>$B$3+COLUMN()-COLUMN($K$5)</f>
      </c>
      <c r="BE5" s="9">
        <f>$B$3+COLUMN()-COLUMN($K$5)</f>
      </c>
      <c r="BF5" s="9">
        <f>$B$3+COLUMN()-COLUMN($K$5)</f>
      </c>
      <c r="BG5" s="9">
        <f>$B$3+COLUMN()-COLUMN($K$5)</f>
      </c>
      <c r="BH5" s="9">
        <f>$B$3+COLUMN()-COLUMN($K$5)</f>
      </c>
      <c r="BI5" s="9">
        <f>$B$3+COLUMN()-COLUMN($K$5)</f>
      </c>
      <c r="BJ5" s="9">
        <f>$B$3+COLUMN()-COLUMN($K$5)</f>
      </c>
      <c r="BK5" s="9">
        <f>$B$3+COLUMN()-COLUMN($K$5)</f>
      </c>
      <c r="BL5" s="9">
        <f>$B$3+COLUMN()-COLUMN($K$5)</f>
      </c>
      <c r="BM5" s="9">
        <f>$B$3+COLUMN()-COLUMN($K$5)</f>
      </c>
      <c r="BN5" s="9">
        <f>$B$3+COLUMN()-COLUMN($K$5)</f>
      </c>
      <c r="BO5" s="9">
        <f>$B$3+COLUMN()-COLUMN($K$5)</f>
      </c>
      <c r="BP5" s="9">
        <f>$B$3+COLUMN()-COLUMN($K$5)</f>
      </c>
      <c r="BQ5" s="9">
        <f>$B$3+COLUMN()-COLUMN($K$5)</f>
      </c>
      <c r="BR5" s="9">
        <f>$B$3+COLUMN()-COLUMN($K$5)</f>
      </c>
      <c r="BS5" s="9">
        <f>$B$3+COLUMN()-COLUMN($K$5)</f>
      </c>
      <c r="BT5" s="9">
        <f>$B$3+COLUMN()-COLUMN($K$5)</f>
      </c>
      <c r="BU5" s="9">
        <f>$B$3+COLUMN()-COLUMN($K$5)</f>
      </c>
      <c r="BV5" s="9">
        <f>$B$3+COLUMN()-COLUMN($K$5)</f>
      </c>
      <c r="BW5" s="9">
        <f>$B$3+COLUMN()-COLUMN($K$5)</f>
      </c>
      <c r="BX5" s="9">
        <f>$B$3+COLUMN()-COLUMN($K$5)</f>
      </c>
      <c r="BY5" s="9">
        <f>$B$3+COLUMN()-COLUMN($K$5)</f>
      </c>
      <c r="BZ5" s="9">
        <f>$B$3+COLUMN()-COLUMN($K$5)</f>
      </c>
      <c r="CA5" s="9">
        <f>$B$3+COLUMN()-COLUMN($K$5)</f>
      </c>
      <c r="CB5" s="9">
        <f>$B$3+COLUMN()-COLUMN($K$5)</f>
      </c>
      <c r="CC5" s="9">
        <f>$B$3+COLUMN()-COLUMN($K$5)</f>
      </c>
      <c r="CD5" s="9">
        <f>$B$3+COLUMN()-COLUMN($K$5)</f>
      </c>
      <c r="CE5" s="9">
        <f>$B$3+COLUMN()-COLUMN($K$5)</f>
      </c>
      <c r="CF5" s="9">
        <f>$B$3+COLUMN()-COLUMN($K$5)</f>
      </c>
      <c r="CG5" s="9">
        <f>$B$3+COLUMN()-COLUMN($K$5)</f>
      </c>
      <c r="CH5" s="9">
        <f>$B$3+COLUMN()-COLUMN($K$5)</f>
      </c>
      <c r="CI5" s="9">
        <f>$B$3+COLUMN()-COLUMN($K$5)</f>
      </c>
      <c r="CJ5" s="9">
        <f>$B$3+COLUMN()-COLUMN($K$5)</f>
      </c>
      <c r="CK5" s="9">
        <f>$B$3+COLUMN()-COLUMN($K$5)</f>
      </c>
      <c r="CL5" s="9">
        <f>$B$3+COLUMN()-COLUMN($K$5)</f>
      </c>
      <c r="CM5" s="9">
        <f>$B$3+COLUMN()-COLUMN($K$5)</f>
      </c>
      <c r="CN5" s="9">
        <f>$B$3+COLUMN()-COLUMN($K$5)</f>
      </c>
      <c r="CO5" s="9">
        <f>$B$3+COLUMN()-COLUMN($K$5)</f>
      </c>
      <c r="CP5" s="9">
        <f>$B$3+COLUMN()-COLUMN($K$5)</f>
      </c>
      <c r="CQ5" s="9">
        <f>$B$3+COLUMN()-COLUMN($K$5)</f>
      </c>
      <c r="CR5" s="9">
        <f>$B$3+COLUMN()-COLUMN($K$5)</f>
      </c>
      <c r="CS5" s="9">
        <f>$B$3+COLUMN()-COLUMN($K$5)</f>
      </c>
      <c r="CT5" s="9">
        <f>$B$3+COLUMN()-COLUMN($K$5)</f>
      </c>
      <c r="CU5" s="9">
        <f>$B$3+COLUMN()-COLUMN($K$5)</f>
      </c>
      <c r="CV5" s="9">
        <f>$B$3+COLUMN()-COLUMN($K$5)</f>
      </c>
      <c r="CW5" s="9">
        <f>$B$3+COLUMN()-COLUMN($K$5)</f>
      </c>
      <c r="CX5" s="9">
        <f>$B$3+COLUMN()-COLUMN($K$5)</f>
      </c>
      <c r="CY5" s="9">
        <f>$B$3+COLUMN()-COLUMN($K$5)</f>
      </c>
      <c r="CZ5" s="9">
        <f>$B$3+COLUMN()-COLUMN($K$5)</f>
      </c>
      <c r="DA5" s="9">
        <f>$B$3+COLUMN()-COLUMN($K$5)</f>
      </c>
      <c r="DB5" s="9">
        <f>$B$3+COLUMN()-COLUMN($K$5)</f>
      </c>
      <c r="DC5" s="9">
        <f>$B$3+COLUMN()-COLUMN($K$5)</f>
      </c>
      <c r="DD5" s="9">
        <f>$B$3+COLUMN()-COLUMN($K$5)</f>
      </c>
      <c r="DE5" s="9">
        <f>$B$3+COLUMN()-COLUMN($K$5)</f>
      </c>
      <c r="DF5" s="9">
        <f>$B$3+COLUMN()-COLUMN($K$5)</f>
      </c>
      <c r="DG5" s="9">
        <f>$B$3+COLUMN()-COLUMN($K$5)</f>
      </c>
      <c r="DH5" s="9">
        <f>$B$3+COLUMN()-COLUMN($K$5)</f>
      </c>
      <c r="DI5" s="9">
        <f>$B$3+COLUMN()-COLUMN($K$5)</f>
      </c>
      <c r="DJ5" s="9">
        <f>$B$3+COLUMN()-COLUMN($K$5)</f>
      </c>
      <c r="DK5" s="9">
        <f>$B$3+COLUMN()-COLUMN($K$5)</f>
      </c>
      <c r="DL5" s="9">
        <f>$B$3+COLUMN()-COLUMN($K$5)</f>
      </c>
      <c r="DM5" s="9">
        <f>$B$3+COLUMN()-COLUMN($K$5)</f>
      </c>
      <c r="DN5" s="9">
        <f>$B$3+COLUMN()-COLUMN($K$5)</f>
      </c>
      <c r="DO5" s="9">
        <f>$B$3+COLUMN()-COLUMN($K$5)</f>
      </c>
      <c r="DP5" s="9">
        <f>$B$3+COLUMN()-COLUMN($K$5)</f>
      </c>
      <c r="DQ5" s="9">
        <f>$B$3+COLUMN()-COLUMN($K$5)</f>
      </c>
      <c r="DR5" s="9">
        <f>$B$3+COLUMN()-COLUMN($K$5)</f>
      </c>
      <c r="DS5" s="9">
        <f>$B$3+COLUMN()-COLUMN($K$5)</f>
      </c>
      <c r="DT5" s="9">
        <f>$B$3+COLUMN()-COLUMN($K$5)</f>
      </c>
      <c r="DU5" s="9">
        <f>$B$3+COLUMN()-COLUMN($K$5)</f>
      </c>
      <c r="DV5" s="9">
        <f>$B$3+COLUMN()-COLUMN($K$5)</f>
      </c>
      <c r="DW5" s="9">
        <f>$B$3+COLUMN()-COLUMN($K$5)</f>
      </c>
      <c r="DX5" s="9">
        <f>$B$3+COLUMN()-COLUMN($K$5)</f>
      </c>
      <c r="DY5" s="9">
        <f>$B$3+COLUMN()-COLUMN($K$5)</f>
      </c>
      <c r="DZ5" s="9">
        <f>$B$3+COLUMN()-COLUMN($K$5)</f>
      </c>
    </row>
    <row customHeight="true" ht="18" r="6">
      <c r="A6" s="8"/>
      <c r="B6" s="8"/>
      <c r="C6" s="8"/>
      <c r="D6" s="11"/>
      <c r="E6" s="10"/>
      <c r="F6" s="10"/>
      <c r="G6" s="10"/>
      <c r="H6" s="10"/>
      <c r="I6" s="8"/>
      <c r="J6" s="8"/>
      <c r="K6" s="25">
        <f>RIGHT(TEXT($B$3+COLUMN()-COLUMN($K$5),"aaaa"),1)</f>
      </c>
      <c r="L6" s="25">
        <f>RIGHT(TEXT($B$3+COLUMN()-COLUMN($K$5),"aaaa"),1)</f>
      </c>
      <c r="M6" s="25">
        <f>RIGHT(TEXT($B$3+COLUMN()-COLUMN($K$5),"aaaa"),1)</f>
      </c>
      <c r="N6" s="25">
        <f>RIGHT(TEXT($B$3+COLUMN()-COLUMN($K$5),"aaaa"),1)</f>
      </c>
      <c r="O6" s="25">
        <f>RIGHT(TEXT($B$3+COLUMN()-COLUMN($K$5),"aaaa"),1)</f>
      </c>
      <c r="P6" s="25">
        <f>RIGHT(TEXT($B$3+COLUMN()-COLUMN($K$5),"aaaa"),1)</f>
      </c>
      <c r="Q6" s="25">
        <f>RIGHT(TEXT($B$3+COLUMN()-COLUMN($K$5),"aaaa"),1)</f>
      </c>
      <c r="R6" s="25">
        <f>RIGHT(TEXT($B$3+COLUMN()-COLUMN($K$5),"aaaa"),1)</f>
      </c>
      <c r="S6" s="25">
        <f>RIGHT(TEXT($B$3+COLUMN()-COLUMN($K$5),"aaaa"),1)</f>
      </c>
      <c r="T6" s="25">
        <f>RIGHT(TEXT($B$3+COLUMN()-COLUMN($K$5),"aaaa"),1)</f>
      </c>
      <c r="U6" s="25">
        <f>RIGHT(TEXT($B$3+COLUMN()-COLUMN($K$5),"aaaa"),1)</f>
      </c>
      <c r="V6" s="25">
        <f>RIGHT(TEXT($B$3+COLUMN()-COLUMN($K$5),"aaaa"),1)</f>
      </c>
      <c r="W6" s="25">
        <f>RIGHT(TEXT($B$3+COLUMN()-COLUMN($K$5),"aaaa"),1)</f>
      </c>
      <c r="X6" s="25">
        <f>RIGHT(TEXT($B$3+COLUMN()-COLUMN($K$5),"aaaa"),1)</f>
      </c>
      <c r="Y6" s="25">
        <f>RIGHT(TEXT($B$3+COLUMN()-COLUMN($K$5),"aaaa"),1)</f>
      </c>
      <c r="Z6" s="25">
        <f>RIGHT(TEXT($B$3+COLUMN()-COLUMN($K$5),"aaaa"),1)</f>
      </c>
      <c r="AA6" s="25">
        <f>RIGHT(TEXT($B$3+COLUMN()-COLUMN($K$5),"aaaa"),1)</f>
      </c>
      <c r="AB6" s="25">
        <f>RIGHT(TEXT($B$3+COLUMN()-COLUMN($K$5),"aaaa"),1)</f>
      </c>
      <c r="AC6" s="25">
        <f>RIGHT(TEXT($B$3+COLUMN()-COLUMN($K$5),"aaaa"),1)</f>
      </c>
      <c r="AD6" s="25">
        <f>RIGHT(TEXT($B$3+COLUMN()-COLUMN($K$5),"aaaa"),1)</f>
      </c>
      <c r="AE6" s="25">
        <f>RIGHT(TEXT($B$3+COLUMN()-COLUMN($K$5),"aaaa"),1)</f>
      </c>
      <c r="AF6" s="25">
        <f>RIGHT(TEXT($B$3+COLUMN()-COLUMN($K$5),"aaaa"),1)</f>
      </c>
      <c r="AG6" s="25">
        <f>RIGHT(TEXT($B$3+COLUMN()-COLUMN($K$5),"aaaa"),1)</f>
      </c>
      <c r="AH6" s="25">
        <f>RIGHT(TEXT($B$3+COLUMN()-COLUMN($K$5),"aaaa"),1)</f>
      </c>
      <c r="AI6" s="25">
        <f>RIGHT(TEXT($B$3+COLUMN()-COLUMN($K$5),"aaaa"),1)</f>
      </c>
      <c r="AJ6" s="25">
        <f>RIGHT(TEXT($B$3+COLUMN()-COLUMN($K$5),"aaaa"),1)</f>
      </c>
      <c r="AK6" s="25">
        <f>RIGHT(TEXT($B$3+COLUMN()-COLUMN($K$5),"aaaa"),1)</f>
      </c>
      <c r="AL6" s="25">
        <f>RIGHT(TEXT($B$3+COLUMN()-COLUMN($K$5),"aaaa"),1)</f>
      </c>
      <c r="AM6" s="25">
        <f>RIGHT(TEXT($B$3+COLUMN()-COLUMN($K$5),"aaaa"),1)</f>
      </c>
      <c r="AN6" s="25">
        <f>RIGHT(TEXT($B$3+COLUMN()-COLUMN($K$5),"aaaa"),1)</f>
      </c>
      <c r="AO6" s="25">
        <f>RIGHT(TEXT($B$3+COLUMN()-COLUMN($K$5),"aaaa"),1)</f>
      </c>
      <c r="AP6" s="25">
        <f>RIGHT(TEXT($B$3+COLUMN()-COLUMN($K$5),"aaaa"),1)</f>
      </c>
      <c r="AQ6" s="25">
        <f>RIGHT(TEXT($B$3+COLUMN()-COLUMN($K$5),"aaaa"),1)</f>
      </c>
      <c r="AR6" s="25">
        <f>RIGHT(TEXT($B$3+COLUMN()-COLUMN($K$5),"aaaa"),1)</f>
      </c>
      <c r="AS6" s="25">
        <f>RIGHT(TEXT($B$3+COLUMN()-COLUMN($K$5),"aaaa"),1)</f>
      </c>
      <c r="AT6" s="25">
        <f>RIGHT(TEXT($B$3+COLUMN()-COLUMN($K$5),"aaaa"),1)</f>
      </c>
      <c r="AU6" s="25">
        <f>RIGHT(TEXT($B$3+COLUMN()-COLUMN($K$5),"aaaa"),1)</f>
      </c>
      <c r="AV6" s="25">
        <f>RIGHT(TEXT($B$3+COLUMN()-COLUMN($K$5),"aaaa"),1)</f>
      </c>
      <c r="AW6" s="25">
        <f>RIGHT(TEXT($B$3+COLUMN()-COLUMN($K$5),"aaaa"),1)</f>
      </c>
      <c r="AX6" s="25">
        <f>RIGHT(TEXT($B$3+COLUMN()-COLUMN($K$5),"aaaa"),1)</f>
      </c>
      <c r="AY6" s="25">
        <f>RIGHT(TEXT($B$3+COLUMN()-COLUMN($K$5),"aaaa"),1)</f>
      </c>
      <c r="AZ6" s="25">
        <f>RIGHT(TEXT($B$3+COLUMN()-COLUMN($K$5),"aaaa"),1)</f>
      </c>
      <c r="BA6" s="25">
        <f>RIGHT(TEXT($B$3+COLUMN()-COLUMN($K$5),"aaaa"),1)</f>
      </c>
      <c r="BB6" s="25">
        <f>RIGHT(TEXT($B$3+COLUMN()-COLUMN($K$5),"aaaa"),1)</f>
      </c>
      <c r="BC6" s="25">
        <f>RIGHT(TEXT($B$3+COLUMN()-COLUMN($K$5),"aaaa"),1)</f>
      </c>
      <c r="BD6" s="25">
        <f>RIGHT(TEXT($B$3+COLUMN()-COLUMN($K$5),"aaaa"),1)</f>
      </c>
      <c r="BE6" s="25">
        <f>RIGHT(TEXT($B$3+COLUMN()-COLUMN($K$5),"aaaa"),1)</f>
      </c>
      <c r="BF6" s="25">
        <f>RIGHT(TEXT($B$3+COLUMN()-COLUMN($K$5),"aaaa"),1)</f>
      </c>
      <c r="BG6" s="25">
        <f>RIGHT(TEXT($B$3+COLUMN()-COLUMN($K$5),"aaaa"),1)</f>
      </c>
      <c r="BH6" s="25">
        <f>RIGHT(TEXT($B$3+COLUMN()-COLUMN($K$5),"aaaa"),1)</f>
      </c>
      <c r="BI6" s="25">
        <f>RIGHT(TEXT($B$3+COLUMN()-COLUMN($K$5),"aaaa"),1)</f>
      </c>
      <c r="BJ6" s="25">
        <f>RIGHT(TEXT($B$3+COLUMN()-COLUMN($K$5),"aaaa"),1)</f>
      </c>
      <c r="BK6" s="25">
        <f>RIGHT(TEXT($B$3+COLUMN()-COLUMN($K$5),"aaaa"),1)</f>
      </c>
      <c r="BL6" s="25">
        <f>RIGHT(TEXT($B$3+COLUMN()-COLUMN($K$5),"aaaa"),1)</f>
      </c>
      <c r="BM6" s="25">
        <f>RIGHT(TEXT($B$3+COLUMN()-COLUMN($K$5),"aaaa"),1)</f>
      </c>
      <c r="BN6" s="25">
        <f>RIGHT(TEXT($B$3+COLUMN()-COLUMN($K$5),"aaaa"),1)</f>
      </c>
      <c r="BO6" s="25">
        <f>RIGHT(TEXT($B$3+COLUMN()-COLUMN($K$5),"aaaa"),1)</f>
      </c>
      <c r="BP6" s="25">
        <f>RIGHT(TEXT($B$3+COLUMN()-COLUMN($K$5),"aaaa"),1)</f>
      </c>
      <c r="BQ6" s="25">
        <f>RIGHT(TEXT($B$3+COLUMN()-COLUMN($K$5),"aaaa"),1)</f>
      </c>
      <c r="BR6" s="25">
        <f>RIGHT(TEXT($B$3+COLUMN()-COLUMN($K$5),"aaaa"),1)</f>
      </c>
      <c r="BS6" s="25">
        <f>RIGHT(TEXT($B$3+COLUMN()-COLUMN($K$5),"aaaa"),1)</f>
      </c>
      <c r="BT6" s="25">
        <f>RIGHT(TEXT($B$3+COLUMN()-COLUMN($K$5),"aaaa"),1)</f>
      </c>
      <c r="BU6" s="25">
        <f>RIGHT(TEXT($B$3+COLUMN()-COLUMN($K$5),"aaaa"),1)</f>
      </c>
      <c r="BV6" s="25">
        <f>RIGHT(TEXT($B$3+COLUMN()-COLUMN($K$5),"aaaa"),1)</f>
      </c>
      <c r="BW6" s="25">
        <f>RIGHT(TEXT($B$3+COLUMN()-COLUMN($K$5),"aaaa"),1)</f>
      </c>
      <c r="BX6" s="25">
        <f>RIGHT(TEXT($B$3+COLUMN()-COLUMN($K$5),"aaaa"),1)</f>
      </c>
      <c r="BY6" s="25">
        <f>RIGHT(TEXT($B$3+COLUMN()-COLUMN($K$5),"aaaa"),1)</f>
      </c>
      <c r="BZ6" s="25">
        <f>RIGHT(TEXT($B$3+COLUMN()-COLUMN($K$5),"aaaa"),1)</f>
      </c>
      <c r="CA6" s="25">
        <f>RIGHT(TEXT($B$3+COLUMN()-COLUMN($K$5),"aaaa"),1)</f>
      </c>
      <c r="CB6" s="25">
        <f>RIGHT(TEXT($B$3+COLUMN()-COLUMN($K$5),"aaaa"),1)</f>
      </c>
      <c r="CC6" s="25">
        <f>RIGHT(TEXT($B$3+COLUMN()-COLUMN($K$5),"aaaa"),1)</f>
      </c>
      <c r="CD6" s="25">
        <f>RIGHT(TEXT($B$3+COLUMN()-COLUMN($K$5),"aaaa"),1)</f>
      </c>
      <c r="CE6" s="25">
        <f>RIGHT(TEXT($B$3+COLUMN()-COLUMN($K$5),"aaaa"),1)</f>
      </c>
      <c r="CF6" s="25">
        <f>RIGHT(TEXT($B$3+COLUMN()-COLUMN($K$5),"aaaa"),1)</f>
      </c>
      <c r="CG6" s="25">
        <f>RIGHT(TEXT($B$3+COLUMN()-COLUMN($K$5),"aaaa"),1)</f>
      </c>
      <c r="CH6" s="25">
        <f>RIGHT(TEXT($B$3+COLUMN()-COLUMN($K$5),"aaaa"),1)</f>
      </c>
      <c r="CI6" s="25">
        <f>RIGHT(TEXT($B$3+COLUMN()-COLUMN($K$5),"aaaa"),1)</f>
      </c>
      <c r="CJ6" s="25">
        <f>RIGHT(TEXT($B$3+COLUMN()-COLUMN($K$5),"aaaa"),1)</f>
      </c>
      <c r="CK6" s="25">
        <f>RIGHT(TEXT($B$3+COLUMN()-COLUMN($K$5),"aaaa"),1)</f>
      </c>
      <c r="CL6" s="25">
        <f>RIGHT(TEXT($B$3+COLUMN()-COLUMN($K$5),"aaaa"),1)</f>
      </c>
      <c r="CM6" s="25">
        <f>RIGHT(TEXT($B$3+COLUMN()-COLUMN($K$5),"aaaa"),1)</f>
      </c>
      <c r="CN6" s="25">
        <f>RIGHT(TEXT($B$3+COLUMN()-COLUMN($K$5),"aaaa"),1)</f>
      </c>
      <c r="CO6" s="25">
        <f>RIGHT(TEXT($B$3+COLUMN()-COLUMN($K$5),"aaaa"),1)</f>
      </c>
      <c r="CP6" s="25">
        <f>RIGHT(TEXT($B$3+COLUMN()-COLUMN($K$5),"aaaa"),1)</f>
      </c>
      <c r="CQ6" s="25">
        <f>RIGHT(TEXT($B$3+COLUMN()-COLUMN($K$5),"aaaa"),1)</f>
      </c>
      <c r="CR6" s="25">
        <f>RIGHT(TEXT($B$3+COLUMN()-COLUMN($K$5),"aaaa"),1)</f>
      </c>
      <c r="CS6" s="25">
        <f>RIGHT(TEXT($B$3+COLUMN()-COLUMN($K$5),"aaaa"),1)</f>
      </c>
      <c r="CT6" s="25">
        <f>RIGHT(TEXT($B$3+COLUMN()-COLUMN($K$5),"aaaa"),1)</f>
      </c>
      <c r="CU6" s="25">
        <f>RIGHT(TEXT($B$3+COLUMN()-COLUMN($K$5),"aaaa"),1)</f>
      </c>
      <c r="CV6" s="25">
        <f>RIGHT(TEXT($B$3+COLUMN()-COLUMN($K$5),"aaaa"),1)</f>
      </c>
      <c r="CW6" s="25">
        <f>RIGHT(TEXT($B$3+COLUMN()-COLUMN($K$5),"aaaa"),1)</f>
      </c>
      <c r="CX6" s="25">
        <f>RIGHT(TEXT($B$3+COLUMN()-COLUMN($K$5),"aaaa"),1)</f>
      </c>
      <c r="CY6" s="25">
        <f>RIGHT(TEXT($B$3+COLUMN()-COLUMN($K$5),"aaaa"),1)</f>
      </c>
      <c r="CZ6" s="25">
        <f>RIGHT(TEXT($B$3+COLUMN()-COLUMN($K$5),"aaaa"),1)</f>
      </c>
      <c r="DA6" s="25">
        <f>RIGHT(TEXT($B$3+COLUMN()-COLUMN($K$5),"aaaa"),1)</f>
      </c>
      <c r="DB6" s="25">
        <f>RIGHT(TEXT($B$3+COLUMN()-COLUMN($K$5),"aaaa"),1)</f>
      </c>
      <c r="DC6" s="25">
        <f>RIGHT(TEXT($B$3+COLUMN()-COLUMN($K$5),"aaaa"),1)</f>
      </c>
      <c r="DD6" s="25">
        <f>RIGHT(TEXT($B$3+COLUMN()-COLUMN($K$5),"aaaa"),1)</f>
      </c>
      <c r="DE6" s="25">
        <f>RIGHT(TEXT($B$3+COLUMN()-COLUMN($K$5),"aaaa"),1)</f>
      </c>
      <c r="DF6" s="25">
        <f>RIGHT(TEXT($B$3+COLUMN()-COLUMN($K$5),"aaaa"),1)</f>
      </c>
      <c r="DG6" s="25">
        <f>RIGHT(TEXT($B$3+COLUMN()-COLUMN($K$5),"aaaa"),1)</f>
      </c>
      <c r="DH6" s="25">
        <f>RIGHT(TEXT($B$3+COLUMN()-COLUMN($K$5),"aaaa"),1)</f>
      </c>
      <c r="DI6" s="25">
        <f>RIGHT(TEXT($B$3+COLUMN()-COLUMN($K$5),"aaaa"),1)</f>
      </c>
      <c r="DJ6" s="25">
        <f>RIGHT(TEXT($B$3+COLUMN()-COLUMN($K$5),"aaaa"),1)</f>
      </c>
      <c r="DK6" s="25">
        <f>RIGHT(TEXT($B$3+COLUMN()-COLUMN($K$5),"aaaa"),1)</f>
      </c>
      <c r="DL6" s="25">
        <f>RIGHT(TEXT($B$3+COLUMN()-COLUMN($K$5),"aaaa"),1)</f>
      </c>
      <c r="DM6" s="25">
        <f>RIGHT(TEXT($B$3+COLUMN()-COLUMN($K$5),"aaaa"),1)</f>
      </c>
      <c r="DN6" s="25">
        <f>RIGHT(TEXT($B$3+COLUMN()-COLUMN($K$5),"aaaa"),1)</f>
      </c>
      <c r="DO6" s="25">
        <f>RIGHT(TEXT($B$3+COLUMN()-COLUMN($K$5),"aaaa"),1)</f>
      </c>
      <c r="DP6" s="25">
        <f>RIGHT(TEXT($B$3+COLUMN()-COLUMN($K$5),"aaaa"),1)</f>
      </c>
      <c r="DQ6" s="25">
        <f>RIGHT(TEXT($B$3+COLUMN()-COLUMN($K$5),"aaaa"),1)</f>
      </c>
      <c r="DR6" s="25">
        <f>RIGHT(TEXT($B$3+COLUMN()-COLUMN($K$5),"aaaa"),1)</f>
      </c>
      <c r="DS6" s="25">
        <f>RIGHT(TEXT($B$3+COLUMN()-COLUMN($K$5),"aaaa"),1)</f>
      </c>
      <c r="DT6" s="25">
        <f>RIGHT(TEXT($B$3+COLUMN()-COLUMN($K$5),"aaaa"),1)</f>
      </c>
      <c r="DU6" s="25">
        <f>RIGHT(TEXT($B$3+COLUMN()-COLUMN($K$5),"aaaa"),1)</f>
      </c>
      <c r="DV6" s="25">
        <f>RIGHT(TEXT($B$3+COLUMN()-COLUMN($K$5),"aaaa"),1)</f>
      </c>
      <c r="DW6" s="25">
        <f>RIGHT(TEXT($B$3+COLUMN()-COLUMN($K$5),"aaaa"),1)</f>
      </c>
      <c r="DX6" s="25">
        <f>RIGHT(TEXT($B$3+COLUMN()-COLUMN($K$5),"aaaa"),1)</f>
      </c>
      <c r="DY6" s="25">
        <f>RIGHT(TEXT($B$3+COLUMN()-COLUMN($K$5),"aaaa"),1)</f>
      </c>
      <c r="DZ6" s="25">
        <f>RIGHT(TEXT($B$3+COLUMN()-COLUMN($K$5),"aaaa"),1)</f>
      </c>
    </row>
    <row customHeight="true" ht="29" r="7">
      <c r="A7" s="20" t="str">
        <v>一、项目筹备与启动</v>
      </c>
      <c r="B7" s="36" t="str">
        <v>输入“@+人名”提及负责人</v>
      </c>
      <c r="C7" s="36" t="str">
        <v>使用下拉列表显示任务状态</v>
      </c>
      <c r="D7" s="35" t="str">
        <v>使用日期提醒可定时提醒负责人</v>
      </c>
      <c r="E7" s="35"/>
      <c r="F7" s="35"/>
      <c r="G7" s="35"/>
      <c r="H7" s="35"/>
      <c r="I7" s="33" t="str">
        <v>🚩 勾选里程碑任务</v>
      </c>
      <c r="J7" s="32" t="s">
        <v>1</v>
      </c>
      <c r="K7" s="34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</row>
    <row r="8">
      <c r="A8" s="43" t="str">
        <v>方案设计</v>
      </c>
      <c r="B8" s="42" t="str">
        <v>@小唐</v>
      </c>
      <c r="C8" s="41" t="str">
        <v>待启动 💡</v>
      </c>
      <c r="D8" s="17">
        <v>44986</v>
      </c>
      <c r="E8" s="17">
        <v>45017</v>
      </c>
      <c r="F8" s="6">
        <f>DATEDIF(D8,E8,"D")</f>
      </c>
      <c r="G8" s="17">
        <v>44986</v>
      </c>
      <c r="H8" s="17"/>
      <c r="I8" s="7">
        <v>1</v>
      </c>
      <c r="J8" s="44"/>
      <c r="K8" s="15"/>
      <c r="L8" s="14"/>
      <c r="M8" s="38"/>
      <c r="N8" s="38"/>
      <c r="O8" s="13"/>
      <c r="P8" s="14"/>
      <c r="Q8" s="40"/>
      <c r="S8" s="38"/>
      <c r="T8" s="13"/>
      <c r="U8" s="13"/>
      <c r="V8" s="13"/>
      <c r="W8" s="14"/>
      <c r="X8" s="40"/>
      <c r="Y8" s="40"/>
      <c r="Z8" s="2"/>
      <c r="AA8" s="2"/>
      <c r="AB8" s="2"/>
      <c r="AC8" s="13"/>
      <c r="AD8" s="14"/>
      <c r="AE8" s="14"/>
      <c r="AF8" s="14"/>
      <c r="AG8" s="2"/>
      <c r="AH8" s="2"/>
      <c r="AI8" s="2"/>
      <c r="AJ8" s="13"/>
      <c r="AK8" s="14"/>
      <c r="AL8" s="14"/>
      <c r="AM8" s="14"/>
      <c r="AN8" s="2"/>
      <c r="AO8" s="2"/>
      <c r="AP8" s="2"/>
      <c r="AQ8" s="13"/>
      <c r="AR8" s="14"/>
      <c r="AS8" s="14"/>
      <c r="AT8" s="14"/>
      <c r="AU8" s="2"/>
      <c r="AV8" s="2"/>
      <c r="AW8" s="2"/>
      <c r="AX8" s="13"/>
      <c r="AY8" s="14"/>
      <c r="AZ8" s="14"/>
      <c r="BA8" s="14"/>
      <c r="BB8" s="2"/>
      <c r="BC8" s="2"/>
      <c r="BD8" s="2"/>
      <c r="BE8" s="13"/>
      <c r="BF8" s="14"/>
      <c r="BG8" s="14"/>
      <c r="BH8" s="14"/>
      <c r="BI8" s="2"/>
      <c r="BJ8" s="13"/>
      <c r="BK8" s="2"/>
      <c r="BL8" s="13"/>
      <c r="BM8" s="13"/>
      <c r="BN8" s="2"/>
      <c r="BO8" s="2"/>
      <c r="BP8" s="2"/>
      <c r="BQ8" s="2"/>
      <c r="BR8" s="2"/>
      <c r="BS8" s="13"/>
      <c r="BT8" s="13"/>
      <c r="BU8" s="2"/>
      <c r="BV8" s="2"/>
      <c r="BW8" s="2"/>
      <c r="BX8" s="2"/>
    </row>
    <row customHeight="true" ht="18" r="9">
      <c r="A9" s="55" t="str">
        <v>竞品调研</v>
      </c>
      <c r="B9" s="42" t="str">
        <v>@小王</v>
      </c>
      <c r="C9" s="41" t="str" xml:space="preserve">
        <v>进行中 🔛 </v>
      </c>
      <c r="D9" s="17">
        <v>44986</v>
      </c>
      <c r="E9" s="17">
        <v>45017</v>
      </c>
      <c r="F9" s="6">
        <f>DATEDIF(D9,E9,"D")</f>
      </c>
      <c r="G9" s="17">
        <v>44986</v>
      </c>
      <c r="H9" s="17"/>
      <c r="I9" s="7">
        <v>0</v>
      </c>
      <c r="J9" s="17"/>
      <c r="K9" s="15"/>
      <c r="L9" s="16"/>
      <c r="M9" s="54"/>
      <c r="N9" s="40"/>
      <c r="O9" s="40"/>
      <c r="P9" s="40"/>
      <c r="Q9" s="15"/>
      <c r="S9" s="13"/>
      <c r="T9" s="13"/>
      <c r="U9" s="2"/>
      <c r="V9" s="2"/>
      <c r="W9" s="16"/>
      <c r="X9" s="15"/>
      <c r="Y9" s="15"/>
      <c r="Z9" s="13"/>
      <c r="AA9" s="13"/>
      <c r="AB9" s="2"/>
      <c r="AC9" s="2"/>
      <c r="AD9" s="16"/>
      <c r="AE9" s="15"/>
      <c r="AF9" s="15"/>
      <c r="AG9" s="13"/>
      <c r="AH9" s="13"/>
      <c r="AI9" s="2"/>
      <c r="AJ9" s="2"/>
      <c r="AK9" s="16"/>
      <c r="AL9" s="15"/>
      <c r="AM9" s="15"/>
      <c r="AN9" s="13"/>
      <c r="AO9" s="13"/>
      <c r="AP9" s="2"/>
      <c r="AQ9" s="2"/>
      <c r="AR9" s="16"/>
      <c r="AS9" s="15"/>
      <c r="AT9" s="15"/>
      <c r="AU9" s="13"/>
      <c r="AV9" s="13"/>
      <c r="AW9" s="2"/>
      <c r="AX9" s="2"/>
      <c r="AY9" s="16"/>
      <c r="AZ9" s="15"/>
      <c r="BA9" s="15"/>
      <c r="BB9" s="13"/>
      <c r="BC9" s="13"/>
      <c r="BD9" s="2"/>
      <c r="BE9" s="2"/>
      <c r="BF9" s="16"/>
      <c r="BG9" s="15"/>
      <c r="BH9" s="15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</row>
    <row customHeight="true" ht="18" r="10">
      <c r="A10" s="55"/>
      <c r="B10" s="42" t="str">
        <v>@小陈</v>
      </c>
      <c r="C10" s="41" t="str" xml:space="preserve">
        <v>已完成 ❇️ </v>
      </c>
      <c r="D10" s="17">
        <v>44986</v>
      </c>
      <c r="E10" s="17">
        <v>45017</v>
      </c>
      <c r="F10" s="6">
        <f>DATEDIF(D10,E10,"D")</f>
      </c>
      <c r="G10" s="17">
        <v>44986</v>
      </c>
      <c r="H10" s="17"/>
      <c r="I10" s="7">
        <v>0</v>
      </c>
      <c r="J10" s="74"/>
      <c r="K10" s="73"/>
      <c r="L10" s="14"/>
      <c r="M10" s="54"/>
      <c r="N10" s="54"/>
      <c r="O10" s="54"/>
      <c r="P10" s="54"/>
      <c r="Q10" s="75"/>
      <c r="S10" s="38"/>
      <c r="T10" s="54"/>
      <c r="U10" s="54"/>
      <c r="V10" s="54"/>
      <c r="W10" s="14"/>
      <c r="X10" s="15"/>
      <c r="Y10" s="73"/>
      <c r="Z10" s="2"/>
      <c r="AA10" s="2"/>
      <c r="AB10" s="12"/>
      <c r="AC10" s="12"/>
      <c r="AD10" s="14"/>
      <c r="AE10" s="15"/>
      <c r="AF10" s="73"/>
      <c r="AG10" s="2"/>
      <c r="AH10" s="2"/>
      <c r="AI10" s="12"/>
      <c r="AJ10" s="12"/>
      <c r="AK10" s="14"/>
      <c r="AL10" s="15"/>
      <c r="AM10" s="73"/>
      <c r="AN10" s="2"/>
      <c r="AO10" s="2"/>
      <c r="AP10" s="12"/>
      <c r="AQ10" s="12"/>
      <c r="AR10" s="14"/>
      <c r="AS10" s="15"/>
      <c r="AT10" s="73"/>
      <c r="AU10" s="2"/>
      <c r="AV10" s="2"/>
      <c r="AW10" s="76"/>
      <c r="AX10" s="12"/>
      <c r="AY10" s="14"/>
      <c r="AZ10" s="15"/>
      <c r="BA10" s="73"/>
      <c r="BB10" s="2"/>
      <c r="BC10" s="2"/>
      <c r="BD10" s="12"/>
      <c r="BE10" s="12"/>
      <c r="BF10" s="14"/>
      <c r="BG10" s="15"/>
      <c r="BH10" s="73"/>
      <c r="BI10" s="2"/>
      <c r="BJ10" s="2"/>
      <c r="BK10" s="2"/>
      <c r="BL10" s="13"/>
      <c r="BM10" s="13"/>
      <c r="BN10" s="13"/>
      <c r="BO10" s="2"/>
      <c r="BP10" s="2"/>
      <c r="BQ10" s="2"/>
      <c r="BR10" s="2"/>
      <c r="BS10" s="13"/>
      <c r="BT10" s="13"/>
      <c r="BU10" s="13"/>
      <c r="BV10" s="2"/>
      <c r="BW10" s="2"/>
      <c r="BX10" s="2"/>
    </row>
    <row customHeight="true" ht="18" r="11">
      <c r="A11" s="91"/>
      <c r="B11" s="42" t="str">
        <v>@小红</v>
      </c>
      <c r="C11" s="41" t="str" xml:space="preserve">
        <v>已延期 💥 </v>
      </c>
      <c r="D11" s="17">
        <v>44986</v>
      </c>
      <c r="E11" s="17">
        <v>45017</v>
      </c>
      <c r="F11" s="6">
        <f>DATEDIF(D11,E11,"D")</f>
      </c>
      <c r="G11" s="17">
        <v>44986</v>
      </c>
      <c r="H11" s="17"/>
      <c r="I11" s="7">
        <v>0</v>
      </c>
      <c r="J11" s="17"/>
      <c r="K11" s="90"/>
      <c r="L11" s="90"/>
      <c r="M11" s="13"/>
      <c r="N11" s="12"/>
      <c r="O11" s="27"/>
      <c r="P11" s="90"/>
      <c r="Q11" s="90"/>
      <c r="R11" s="90"/>
      <c r="S11" s="13"/>
      <c r="T11" s="13"/>
      <c r="U11" s="12"/>
      <c r="V11" s="27"/>
      <c r="W11" s="90"/>
      <c r="X11" s="90"/>
      <c r="Y11" s="90"/>
      <c r="Z11" s="13"/>
      <c r="AA11" s="13"/>
      <c r="AB11" s="12"/>
      <c r="AC11" s="27"/>
      <c r="AD11" s="90"/>
      <c r="AE11" s="90"/>
      <c r="AF11" s="90"/>
      <c r="AG11" s="13"/>
      <c r="AH11" s="13"/>
      <c r="AI11" s="12"/>
      <c r="AJ11" s="27"/>
      <c r="AK11" s="90"/>
      <c r="AL11" s="90"/>
      <c r="AM11" s="90"/>
      <c r="AN11" s="13"/>
      <c r="AO11" s="13"/>
      <c r="AP11" s="12"/>
      <c r="AQ11" s="27"/>
      <c r="AR11" s="90"/>
      <c r="AS11" s="90"/>
      <c r="AT11" s="90"/>
      <c r="AU11" s="13"/>
      <c r="AV11" s="13"/>
      <c r="AW11" s="12"/>
      <c r="AX11" s="27"/>
      <c r="AY11" s="90"/>
      <c r="AZ11" s="90"/>
      <c r="BA11" s="90"/>
      <c r="BB11" s="13"/>
      <c r="BC11" s="13"/>
      <c r="BD11" s="12"/>
      <c r="BE11" s="27"/>
      <c r="BF11" s="90"/>
      <c r="BG11" s="90"/>
      <c r="BH11" s="90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76"/>
      <c r="BX11" s="13"/>
    </row>
    <row customHeight="true" ht="18" r="12">
      <c r="A12" s="20" t="str">
        <v>二、项目执行</v>
      </c>
      <c r="B12" s="21"/>
      <c r="C12" s="19"/>
      <c r="D12" s="19"/>
      <c r="E12" s="19"/>
      <c r="F12" s="19"/>
      <c r="G12" s="19"/>
      <c r="H12" s="19"/>
      <c r="I12" s="23"/>
      <c r="J12" s="24"/>
      <c r="K12" s="22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</row>
    <row customHeight="true" ht="18" r="13">
      <c r="A13" s="4" t="str">
        <v>输出方案</v>
      </c>
      <c r="B13" s="5"/>
      <c r="C13" s="3"/>
      <c r="D13" s="17"/>
      <c r="E13" s="17"/>
      <c r="F13" s="6">
        <f>DATEDIF(D13,E13,"D")</f>
      </c>
      <c r="G13" s="3"/>
      <c r="H13" s="3"/>
      <c r="I13" s="7">
        <v>0</v>
      </c>
      <c r="J13" s="1"/>
      <c r="K13" s="15"/>
      <c r="L13" s="16"/>
      <c r="M13" s="13"/>
      <c r="N13" s="12"/>
      <c r="O13" s="13"/>
      <c r="P13" s="14"/>
      <c r="Q13" s="14"/>
      <c r="R13" s="14"/>
      <c r="S13" s="13"/>
      <c r="T13" s="13"/>
      <c r="U13" s="12"/>
      <c r="V13" s="13"/>
      <c r="W13" s="14"/>
      <c r="X13" s="14"/>
      <c r="Y13" s="14"/>
      <c r="Z13" s="13"/>
      <c r="AA13" s="13"/>
      <c r="AB13" s="12"/>
      <c r="AC13" s="13"/>
      <c r="AD13" s="14"/>
      <c r="AE13" s="14"/>
      <c r="AF13" s="14"/>
      <c r="AG13" s="13"/>
      <c r="AH13" s="13"/>
      <c r="AI13" s="12"/>
      <c r="AJ13" s="13"/>
      <c r="AK13" s="14"/>
      <c r="AL13" s="14"/>
      <c r="AM13" s="14"/>
      <c r="AN13" s="13"/>
      <c r="AO13" s="13"/>
      <c r="AP13" s="12"/>
      <c r="AQ13" s="13"/>
      <c r="AR13" s="14"/>
      <c r="AS13" s="14"/>
      <c r="AT13" s="14"/>
      <c r="AU13" s="13"/>
      <c r="AV13" s="13"/>
      <c r="AW13" s="12"/>
      <c r="AX13" s="13"/>
      <c r="AY13" s="14"/>
      <c r="AZ13" s="14"/>
      <c r="BA13" s="14"/>
      <c r="BB13" s="13"/>
      <c r="BC13" s="13"/>
      <c r="BD13" s="12"/>
      <c r="BE13" s="13"/>
      <c r="BF13" s="14"/>
      <c r="BG13" s="14"/>
      <c r="BH13" s="14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</row>
    <row customHeight="true" ht="18" r="14">
      <c r="A14" s="30"/>
      <c r="B14" s="29"/>
      <c r="C14" s="3"/>
      <c r="D14" s="3"/>
      <c r="E14" s="3"/>
      <c r="F14" s="6">
        <f>DATEDIF(D14,E14,"D")</f>
      </c>
      <c r="G14" s="3"/>
      <c r="H14" s="3"/>
      <c r="I14" s="7">
        <v>0</v>
      </c>
      <c r="J14" s="1"/>
      <c r="K14" s="26"/>
      <c r="L14" s="27"/>
      <c r="M14" s="27"/>
      <c r="N14" s="27"/>
      <c r="O14" s="27"/>
      <c r="P14" s="28"/>
      <c r="Q14" s="26"/>
      <c r="R14" s="26"/>
      <c r="S14" s="27"/>
      <c r="T14" s="27"/>
      <c r="U14" s="27"/>
      <c r="V14" s="27"/>
      <c r="W14" s="27"/>
      <c r="X14" s="26"/>
      <c r="Y14" s="26"/>
      <c r="Z14" s="27"/>
      <c r="AA14" s="27"/>
      <c r="AB14" s="27"/>
      <c r="AC14" s="27"/>
      <c r="AD14" s="27"/>
      <c r="AE14" s="26"/>
      <c r="AF14" s="26"/>
      <c r="AG14" s="27"/>
      <c r="AH14" s="27"/>
      <c r="AI14" s="27"/>
      <c r="AJ14" s="27"/>
      <c r="AK14" s="27"/>
      <c r="AL14" s="26"/>
      <c r="AM14" s="26"/>
      <c r="AN14" s="27"/>
      <c r="AO14" s="27"/>
      <c r="AP14" s="27"/>
      <c r="AQ14" s="27"/>
      <c r="AR14" s="27"/>
      <c r="AS14" s="26"/>
      <c r="AT14" s="26"/>
      <c r="AU14" s="27"/>
      <c r="AV14" s="27"/>
      <c r="AW14" s="27"/>
      <c r="AX14" s="27"/>
      <c r="AY14" s="27"/>
      <c r="AZ14" s="26"/>
      <c r="BA14" s="26"/>
      <c r="BB14" s="27"/>
      <c r="BC14" s="27"/>
      <c r="BD14" s="27"/>
      <c r="BE14" s="27"/>
      <c r="BF14" s="27"/>
      <c r="BG14" s="26"/>
      <c r="BH14" s="26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"/>
      <c r="BV14" s="2"/>
      <c r="BW14" s="2"/>
      <c r="BX14" s="2"/>
    </row>
    <row customHeight="true" ht="18" r="15">
      <c r="A15" s="39"/>
      <c r="B15" s="5"/>
      <c r="C15" s="3"/>
      <c r="D15" s="3"/>
      <c r="E15" s="3"/>
      <c r="F15" s="6">
        <f>DATEDIF(D15,E15,"D")</f>
      </c>
      <c r="G15" s="3"/>
      <c r="H15" s="3"/>
      <c r="I15" s="7">
        <v>0</v>
      </c>
      <c r="J15" s="1"/>
      <c r="K15" s="37"/>
      <c r="L15" s="13"/>
      <c r="M15" s="2"/>
      <c r="N15" s="2"/>
      <c r="O15" s="2"/>
      <c r="P15" s="2"/>
      <c r="Q15" s="37"/>
      <c r="R15" s="37"/>
      <c r="S15" s="2"/>
      <c r="T15" s="2"/>
      <c r="U15" s="2"/>
      <c r="V15" s="2"/>
      <c r="W15" s="2"/>
      <c r="X15" s="37"/>
      <c r="Y15" s="37"/>
      <c r="Z15" s="2"/>
      <c r="AA15" s="38"/>
      <c r="AB15" s="38"/>
      <c r="AC15" s="38"/>
      <c r="AD15" s="13"/>
      <c r="AE15" s="37"/>
      <c r="AF15" s="37"/>
      <c r="AG15" s="2"/>
      <c r="AH15" s="2"/>
      <c r="AI15" s="13"/>
      <c r="AJ15" s="13"/>
      <c r="AK15" s="13"/>
      <c r="AL15" s="37"/>
      <c r="AM15" s="37"/>
      <c r="AN15" s="2"/>
      <c r="AO15" s="2"/>
      <c r="AP15" s="13"/>
      <c r="AQ15" s="13"/>
      <c r="AR15" s="13"/>
      <c r="AS15" s="37"/>
      <c r="AT15" s="37"/>
      <c r="AU15" s="2"/>
      <c r="AV15" s="2"/>
      <c r="AW15" s="13"/>
      <c r="AX15" s="13"/>
      <c r="AY15" s="13"/>
      <c r="AZ15" s="37"/>
      <c r="BA15" s="37"/>
      <c r="BB15" s="2"/>
      <c r="BC15" s="2"/>
      <c r="BD15" s="13"/>
      <c r="BE15" s="13"/>
      <c r="BF15" s="13"/>
      <c r="BG15" s="37"/>
      <c r="BH15" s="37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</row>
    <row customHeight="true" ht="18" r="16">
      <c r="A16" s="39"/>
      <c r="B16" s="5"/>
      <c r="C16" s="3"/>
      <c r="D16" s="3"/>
      <c r="E16" s="3"/>
      <c r="F16" s="6">
        <f>DATEDIF(D16,E16,"D")</f>
      </c>
      <c r="G16" s="3"/>
      <c r="H16" s="3"/>
      <c r="I16" s="7">
        <v>0</v>
      </c>
      <c r="J16" s="1"/>
      <c r="K16" s="26"/>
      <c r="L16" s="13"/>
      <c r="M16" s="2"/>
      <c r="N16" s="2"/>
      <c r="O16" s="13"/>
      <c r="P16" s="13"/>
      <c r="Q16" s="27"/>
      <c r="R16" s="27"/>
      <c r="S16" s="2"/>
      <c r="T16" s="2"/>
      <c r="U16" s="2"/>
      <c r="V16" s="13"/>
      <c r="W16" s="13"/>
      <c r="X16" s="27"/>
      <c r="Y16" s="27"/>
      <c r="Z16" s="13"/>
      <c r="AA16" s="13"/>
      <c r="AB16" s="38"/>
      <c r="AC16" s="13"/>
      <c r="AD16" s="13"/>
      <c r="AE16" s="27"/>
      <c r="AF16" s="27"/>
      <c r="AG16" s="38"/>
      <c r="AH16" s="38"/>
      <c r="AI16" s="38"/>
      <c r="AJ16" s="13"/>
      <c r="AK16" s="13"/>
      <c r="AL16" s="27"/>
      <c r="AM16" s="27"/>
      <c r="AN16" s="13"/>
      <c r="AO16" s="13"/>
      <c r="AP16" s="13"/>
      <c r="AQ16" s="13"/>
      <c r="AR16" s="13"/>
      <c r="AS16" s="27"/>
      <c r="AT16" s="27"/>
      <c r="AU16" s="13"/>
      <c r="AV16" s="13"/>
      <c r="AW16" s="13"/>
      <c r="AX16" s="13"/>
      <c r="AY16" s="13"/>
      <c r="AZ16" s="27"/>
      <c r="BA16" s="27"/>
      <c r="BB16" s="13"/>
      <c r="BC16" s="13"/>
      <c r="BD16" s="13"/>
      <c r="BE16" s="13"/>
      <c r="BF16" s="13"/>
      <c r="BG16" s="27"/>
      <c r="BH16" s="27"/>
      <c r="BI16" s="2"/>
      <c r="BJ16" s="2"/>
      <c r="BK16" s="2"/>
      <c r="BL16" s="13"/>
      <c r="BM16" s="13"/>
      <c r="BN16" s="2"/>
      <c r="BO16" s="2"/>
      <c r="BP16" s="2"/>
      <c r="BQ16" s="2"/>
      <c r="BR16" s="2"/>
      <c r="BS16" s="13"/>
      <c r="BT16" s="13"/>
      <c r="BU16" s="2"/>
      <c r="BV16" s="2"/>
      <c r="BW16" s="2"/>
      <c r="BX16" s="2"/>
    </row>
    <row customHeight="true" ht="18" r="17">
      <c r="A17" s="20" t="str">
        <v>三、项目上线</v>
      </c>
      <c r="B17" s="21"/>
      <c r="C17" s="19"/>
      <c r="D17" s="19"/>
      <c r="E17" s="19"/>
      <c r="F17" s="19"/>
      <c r="G17" s="19"/>
      <c r="H17" s="19"/>
      <c r="I17" s="23"/>
      <c r="J17" s="24"/>
      <c r="K17" s="22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</row>
    <row customHeight="true" ht="18" r="18">
      <c r="A18" s="4"/>
      <c r="B18" s="5"/>
      <c r="C18" s="3"/>
      <c r="D18" s="3"/>
      <c r="E18" s="3"/>
      <c r="F18" s="6">
        <f>DATEDIF(D18,E18,"D")</f>
      </c>
      <c r="G18" s="3"/>
      <c r="H18" s="3"/>
      <c r="I18" s="7">
        <v>0</v>
      </c>
      <c r="J18" s="1"/>
      <c r="K18" s="77"/>
      <c r="L18" s="2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</row>
    <row customHeight="true" ht="18" r="19">
      <c r="A19" s="4"/>
      <c r="B19" s="5"/>
      <c r="C19" s="3"/>
      <c r="D19" s="3"/>
      <c r="E19" s="3"/>
      <c r="F19" s="6">
        <f>DATEDIF(D19,E19,"D")</f>
      </c>
      <c r="G19" s="3"/>
      <c r="H19" s="3"/>
      <c r="I19" s="7">
        <v>0</v>
      </c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</row>
    <row customHeight="true" ht="18" r="20">
      <c r="A20" s="4"/>
      <c r="B20" s="5"/>
      <c r="C20" s="3"/>
      <c r="D20" s="3"/>
      <c r="E20" s="3"/>
      <c r="F20" s="6">
        <f>DATEDIF(D20,E20,"D")</f>
      </c>
      <c r="G20" s="3"/>
      <c r="H20" s="3"/>
      <c r="I20" s="7">
        <v>0</v>
      </c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</row>
    <row customHeight="true" ht="18" r="21">
      <c r="A21" s="20" t="str">
        <v>四、项目复盘</v>
      </c>
      <c r="B21" s="21"/>
      <c r="C21" s="19"/>
      <c r="D21" s="19"/>
      <c r="E21" s="19"/>
      <c r="F21" s="19"/>
      <c r="G21" s="19"/>
      <c r="H21" s="19"/>
      <c r="I21" s="23"/>
      <c r="J21" s="24"/>
      <c r="K21" s="22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</row>
    <row customHeight="true" ht="18" r="22">
      <c r="A22" s="4"/>
      <c r="B22" s="5"/>
      <c r="C22" s="3"/>
      <c r="D22" s="3"/>
      <c r="E22" s="3"/>
      <c r="F22" s="6">
        <f>DATEDIF(D22,E22,"D")</f>
      </c>
      <c r="G22" s="3"/>
      <c r="H22" s="3"/>
      <c r="I22" s="7">
        <v>0</v>
      </c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</row>
    <row customHeight="true" ht="18" r="23">
      <c r="A23" s="4"/>
      <c r="B23" s="5"/>
      <c r="C23" s="3"/>
      <c r="D23" s="3"/>
      <c r="E23" s="3"/>
      <c r="F23" s="6">
        <f>DATEDIF(D23,E23,"D")</f>
      </c>
      <c r="G23" s="3"/>
      <c r="H23" s="3"/>
      <c r="I23" s="7">
        <v>0</v>
      </c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</row>
    <row customHeight="true" ht="18" r="24">
      <c r="A24" s="4"/>
      <c r="B24" s="5"/>
      <c r="C24" s="3"/>
      <c r="D24" s="3"/>
      <c r="E24" s="3"/>
      <c r="F24" s="6">
        <f>DATEDIF(D24,E24,"D")</f>
      </c>
      <c r="G24" s="3"/>
      <c r="H24" s="3"/>
      <c r="I24" s="7">
        <v>0</v>
      </c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</row>
    <row customHeight="true" ht="18" r="25">
      <c r="A25" s="4"/>
      <c r="B25" s="5"/>
      <c r="C25" s="3"/>
      <c r="D25" s="3"/>
      <c r="E25" s="3"/>
      <c r="F25" s="6">
        <f>DATEDIF(D25,E25,"D")</f>
      </c>
      <c r="G25" s="3"/>
      <c r="H25" s="3"/>
      <c r="I25" s="7">
        <v>0</v>
      </c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</row>
    <row customHeight="true" ht="18" r="26">
      <c r="A26" s="4"/>
      <c r="B26" s="5"/>
      <c r="C26" s="3"/>
      <c r="D26" s="3"/>
      <c r="E26" s="3"/>
      <c r="F26" s="6">
        <f>DATEDIF(D26,E26,"D")</f>
      </c>
      <c r="G26" s="3"/>
      <c r="H26" s="3"/>
      <c r="I26" s="7">
        <v>0</v>
      </c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</row>
    <row customHeight="true" ht="18" r="27">
      <c r="A27" s="4"/>
      <c r="B27" s="5"/>
      <c r="C27" s="3"/>
      <c r="D27" s="3"/>
      <c r="E27" s="3"/>
      <c r="F27" s="6">
        <f>DATEDIF(D27,E27,"D")</f>
      </c>
      <c r="G27" s="3"/>
      <c r="H27" s="3"/>
      <c r="I27" s="7">
        <v>0</v>
      </c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</row>
    <row customHeight="true" ht="18" r="28">
      <c r="A28" s="4"/>
      <c r="B28" s="5"/>
      <c r="C28" s="3"/>
      <c r="D28" s="3"/>
      <c r="E28" s="3"/>
      <c r="F28" s="6">
        <f>DATEDIF(D28,E28,"D")</f>
      </c>
      <c r="G28" s="3"/>
      <c r="H28" s="3"/>
      <c r="I28" s="7">
        <v>0</v>
      </c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</row>
    <row customHeight="true" ht="18" r="29">
      <c r="A29" s="4"/>
      <c r="B29" s="5"/>
      <c r="C29" s="3"/>
      <c r="D29" s="3"/>
      <c r="E29" s="3"/>
      <c r="F29" s="6">
        <f>DATEDIF(D29,E29,"D")</f>
      </c>
      <c r="G29" s="3"/>
      <c r="H29" s="3"/>
      <c r="I29" s="7">
        <v>0</v>
      </c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</row>
    <row customHeight="true" ht="18" r="30">
      <c r="A30" s="4"/>
      <c r="B30" s="5"/>
      <c r="C30" s="3"/>
      <c r="D30" s="3"/>
      <c r="E30" s="3"/>
      <c r="F30" s="6">
        <f>DATEDIF(D30,E30,"D")</f>
      </c>
      <c r="G30" s="3"/>
      <c r="H30" s="3"/>
      <c r="I30" s="7">
        <v>0</v>
      </c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</row>
    <row customHeight="true" ht="18" r="31">
      <c r="A31" s="4"/>
      <c r="B31" s="5"/>
      <c r="C31" s="3"/>
      <c r="D31" s="3"/>
      <c r="E31" s="3"/>
      <c r="F31" s="6">
        <f>DATEDIF(D31,E31,"D")</f>
      </c>
      <c r="G31" s="3"/>
      <c r="H31" s="3"/>
      <c r="I31" s="7">
        <v>0</v>
      </c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customHeight="true" ht="18" r="32">
      <c r="A32" s="4"/>
      <c r="B32" s="5"/>
      <c r="C32" s="3"/>
      <c r="D32" s="3"/>
      <c r="E32" s="3"/>
      <c r="F32" s="6">
        <f>DATEDIF(D32,E32,"D")</f>
      </c>
      <c r="G32" s="3"/>
      <c r="H32" s="3"/>
      <c r="I32" s="7">
        <v>0</v>
      </c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customHeight="true" ht="18" r="33">
      <c r="A33" s="4"/>
      <c r="B33" s="5"/>
      <c r="C33" s="3"/>
      <c r="D33" s="3"/>
      <c r="E33" s="3"/>
      <c r="F33" s="6">
        <f>DATEDIF(D33,E33,"D")</f>
      </c>
      <c r="G33" s="3"/>
      <c r="H33" s="3"/>
      <c r="I33" s="7">
        <v>0</v>
      </c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customHeight="true" ht="18" r="34">
      <c r="A34" s="4"/>
      <c r="B34" s="5"/>
      <c r="C34" s="3"/>
      <c r="D34" s="3"/>
      <c r="E34" s="3"/>
      <c r="F34" s="6">
        <f>DATEDIF(D34,E34,"D")</f>
      </c>
      <c r="G34" s="3"/>
      <c r="H34" s="3"/>
      <c r="I34" s="7">
        <v>0</v>
      </c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customHeight="true" ht="18" r="35">
      <c r="A35" s="4"/>
      <c r="B35" s="5"/>
      <c r="C35" s="3"/>
      <c r="D35" s="3"/>
      <c r="E35" s="3"/>
      <c r="F35" s="6">
        <f>DATEDIF(D35,E35,"D")</f>
      </c>
      <c r="G35" s="3"/>
      <c r="H35" s="3"/>
      <c r="I35" s="7">
        <v>0</v>
      </c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customHeight="true" ht="18" r="36">
      <c r="A36" s="4"/>
      <c r="B36" s="5"/>
      <c r="C36" s="3"/>
      <c r="D36" s="3"/>
      <c r="E36" s="3"/>
      <c r="F36" s="6">
        <f>DATEDIF(D36,E36,"D")</f>
      </c>
      <c r="G36" s="3"/>
      <c r="H36" s="3"/>
      <c r="I36" s="7">
        <v>0</v>
      </c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customHeight="true" ht="18" r="37">
      <c r="A37" s="4"/>
      <c r="B37" s="5"/>
      <c r="C37" s="3"/>
      <c r="D37" s="3"/>
      <c r="E37" s="3"/>
      <c r="F37" s="6">
        <f>DATEDIF(D37,E37,"D")</f>
      </c>
      <c r="G37" s="3"/>
      <c r="H37" s="3"/>
      <c r="I37" s="7">
        <v>0</v>
      </c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customHeight="true" ht="18" r="38">
      <c r="A38" s="4"/>
      <c r="B38" s="5"/>
      <c r="C38" s="3"/>
      <c r="D38" s="3"/>
      <c r="E38" s="3"/>
      <c r="F38" s="6">
        <f>DATEDIF(D38,E38,"D")</f>
      </c>
      <c r="G38" s="3"/>
      <c r="H38" s="3"/>
      <c r="I38" s="7">
        <v>0</v>
      </c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customHeight="true" ht="18" r="39">
      <c r="A39" s="4"/>
      <c r="B39" s="5"/>
      <c r="C39" s="3"/>
      <c r="D39" s="3"/>
      <c r="E39" s="3"/>
      <c r="F39" s="6">
        <f>DATEDIF(D39,E39,"D")</f>
      </c>
      <c r="G39" s="3"/>
      <c r="H39" s="3"/>
      <c r="I39" s="7">
        <v>0</v>
      </c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customHeight="true" ht="18" r="40">
      <c r="A40" s="4"/>
      <c r="B40" s="5"/>
      <c r="C40" s="3"/>
      <c r="D40" s="3"/>
      <c r="E40" s="3"/>
      <c r="F40" s="6">
        <f>DATEDIF(D40,E40,"D")</f>
      </c>
      <c r="G40" s="3"/>
      <c r="H40" s="3"/>
      <c r="I40" s="7">
        <v>0</v>
      </c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customHeight="true" ht="18" r="41">
      <c r="A41" s="4"/>
      <c r="B41" s="5"/>
      <c r="C41" s="3"/>
      <c r="D41" s="3"/>
      <c r="E41" s="3"/>
      <c r="F41" s="6">
        <f>DATEDIF(D41,E41,"D")</f>
      </c>
      <c r="G41" s="3"/>
      <c r="H41" s="3"/>
      <c r="I41" s="7">
        <v>0</v>
      </c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customHeight="true" ht="18" r="42">
      <c r="A42" s="4"/>
      <c r="B42" s="5"/>
      <c r="C42" s="3"/>
      <c r="D42" s="3"/>
      <c r="E42" s="3"/>
      <c r="F42" s="6">
        <f>DATEDIF(D42,E42,"D")</f>
      </c>
      <c r="G42" s="3"/>
      <c r="H42" s="3"/>
      <c r="I42" s="7">
        <v>0</v>
      </c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customHeight="true" ht="18" r="43">
      <c r="A43" s="4"/>
      <c r="B43" s="5"/>
      <c r="C43" s="3"/>
      <c r="D43" s="3"/>
      <c r="E43" s="3"/>
      <c r="F43" s="6">
        <f>DATEDIF(D43,E43,"D")</f>
      </c>
      <c r="G43" s="3"/>
      <c r="H43" s="3"/>
      <c r="I43" s="7">
        <v>0</v>
      </c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customHeight="true" ht="18" r="44">
      <c r="A44" s="4"/>
      <c r="B44" s="5"/>
      <c r="C44" s="3"/>
      <c r="D44" s="3"/>
      <c r="E44" s="3"/>
      <c r="F44" s="6">
        <f>DATEDIF(D44,E44,"D")</f>
      </c>
      <c r="G44" s="3"/>
      <c r="H44" s="3"/>
      <c r="I44" s="7">
        <v>0</v>
      </c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customHeight="true" ht="18" r="45">
      <c r="A45" s="4"/>
      <c r="B45" s="5"/>
      <c r="C45" s="3"/>
      <c r="D45" s="3"/>
      <c r="E45" s="3"/>
      <c r="F45" s="6">
        <f>DATEDIF(D45,E45,"D")</f>
      </c>
      <c r="G45" s="3"/>
      <c r="H45" s="3"/>
      <c r="I45" s="7">
        <v>0</v>
      </c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customHeight="true" ht="18" r="46">
      <c r="A46" s="4"/>
      <c r="B46" s="5"/>
      <c r="C46" s="3"/>
      <c r="D46" s="3"/>
      <c r="E46" s="3"/>
      <c r="F46" s="6">
        <f>DATEDIF(D46,E46,"D")</f>
      </c>
      <c r="G46" s="3"/>
      <c r="H46" s="3"/>
      <c r="I46" s="7">
        <v>0</v>
      </c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customHeight="true" ht="18" r="47">
      <c r="A47" s="4"/>
      <c r="B47" s="5"/>
      <c r="C47" s="3"/>
      <c r="D47" s="3"/>
      <c r="E47" s="3"/>
      <c r="F47" s="6">
        <f>DATEDIF(D47,E47,"D")</f>
      </c>
      <c r="G47" s="3"/>
      <c r="H47" s="3"/>
      <c r="I47" s="7">
        <v>0</v>
      </c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customHeight="true" ht="18" r="48">
      <c r="A48" s="4"/>
      <c r="B48" s="5"/>
      <c r="C48" s="3"/>
      <c r="D48" s="3"/>
      <c r="E48" s="3"/>
      <c r="F48" s="6">
        <f>DATEDIF(D48,E48,"D")</f>
      </c>
      <c r="G48" s="3"/>
      <c r="H48" s="3"/>
      <c r="I48" s="7">
        <v>0</v>
      </c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customHeight="true" ht="18" r="49">
      <c r="A49" s="4"/>
      <c r="B49" s="5"/>
      <c r="C49" s="3"/>
      <c r="D49" s="3"/>
      <c r="E49" s="3"/>
      <c r="F49" s="6">
        <f>DATEDIF(D49,E49,"D")</f>
      </c>
      <c r="G49" s="3"/>
      <c r="H49" s="3"/>
      <c r="I49" s="7">
        <v>0</v>
      </c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customHeight="true" ht="18" r="50">
      <c r="A50" s="4"/>
      <c r="B50" s="5"/>
      <c r="C50" s="3"/>
      <c r="D50" s="3"/>
      <c r="E50" s="3"/>
      <c r="F50" s="6">
        <f>DATEDIF(D50,E50,"D")</f>
      </c>
      <c r="G50" s="3"/>
      <c r="H50" s="3"/>
      <c r="I50" s="7">
        <v>0</v>
      </c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customHeight="true" ht="18" r="51">
      <c r="A51" s="4"/>
      <c r="B51" s="5"/>
      <c r="C51" s="3"/>
      <c r="D51" s="3"/>
      <c r="E51" s="3"/>
      <c r="F51" s="6">
        <f>DATEDIF(D51,E51,"D")</f>
      </c>
      <c r="G51" s="3"/>
      <c r="H51" s="3"/>
      <c r="I51" s="7">
        <v>0</v>
      </c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customHeight="true" ht="18" r="52">
      <c r="A52" s="4"/>
      <c r="B52" s="5"/>
      <c r="C52" s="3"/>
      <c r="D52" s="3"/>
      <c r="E52" s="3"/>
      <c r="F52" s="6">
        <f>DATEDIF(D52,E52,"D")</f>
      </c>
      <c r="G52" s="3"/>
      <c r="H52" s="3"/>
      <c r="I52" s="7">
        <v>0</v>
      </c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customHeight="true" ht="18" r="53">
      <c r="A53" s="4"/>
      <c r="B53" s="5"/>
      <c r="C53" s="3"/>
      <c r="D53" s="3"/>
      <c r="E53" s="3"/>
      <c r="F53" s="6">
        <f>DATEDIF(D53,E53,"D")</f>
      </c>
      <c r="G53" s="3"/>
      <c r="H53" s="3"/>
      <c r="I53" s="7">
        <v>0</v>
      </c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customHeight="true" ht="18" r="54">
      <c r="A54" s="4"/>
      <c r="B54" s="5"/>
      <c r="C54" s="3"/>
      <c r="D54" s="3"/>
      <c r="E54" s="3"/>
      <c r="F54" s="6">
        <f>DATEDIF(D54,E54,"D")</f>
      </c>
      <c r="G54" s="3"/>
      <c r="H54" s="3"/>
      <c r="I54" s="7">
        <v>0</v>
      </c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</sheetData>
  <mergeCells>
    <mergeCell ref="F5:F6"/>
    <mergeCell ref="G7:H7"/>
    <mergeCell ref="H5:H6"/>
    <mergeCell ref="G5:G6"/>
    <mergeCell ref="A1:J1"/>
    <mergeCell ref="P2:Q2"/>
    <mergeCell ref="S2:T2"/>
    <mergeCell ref="V2:W2"/>
    <mergeCell ref="Y2:Z2"/>
    <mergeCell ref="AB2:AC2"/>
    <mergeCell ref="AE2:AF2"/>
    <mergeCell ref="AH2:AI2"/>
    <mergeCell ref="AK2:AL2"/>
    <mergeCell ref="O3:P3"/>
    <mergeCell ref="X4:Y4"/>
    <mergeCell ref="AB4:AC4"/>
    <mergeCell ref="AE4:AF4"/>
    <mergeCell ref="AH4:AI4"/>
    <mergeCell ref="I5:I6"/>
    <mergeCell ref="J5:J6"/>
    <mergeCell ref="K7:DZ7"/>
    <mergeCell ref="K12:DZ12"/>
    <mergeCell ref="K17:DZ17"/>
    <mergeCell ref="K21:DZ21"/>
    <mergeCell ref="A5:A6"/>
    <mergeCell ref="B5:B6"/>
    <mergeCell ref="C5:C6"/>
    <mergeCell ref="D5:D6"/>
    <mergeCell ref="E5:E6"/>
    <mergeCell ref="D7:E7"/>
  </mergeCells>
  <conditionalFormatting sqref="K8:DZ54">
    <cfRule dxfId="0" priority="2" stopIfTrue="true" type="expression">
      <formula>AND($H8&gt;$E8,K$5&gt;$E8,K$5&lt;=$H8)</formula>
    </cfRule>
  </conditionalFormatting>
  <conditionalFormatting sqref="K8:DZ54">
    <cfRule dxfId="1" priority="3" stopIfTrue="true" type="expression">
      <formula>AND(K$5&gt;=$G8,K$5&lt;=$H8)</formula>
    </cfRule>
  </conditionalFormatting>
  <conditionalFormatting sqref="K8:DZ54">
    <cfRule dxfId="2" priority="4" stopIfTrue="true" type="expression">
      <formula>AND(K$5&gt;=$D8,K$5&lt;=$E8)</formula>
    </cfRule>
  </conditionalFormatting>
  <dataValidations count="1">
    <dataValidation allowBlank="true" errorStyle="stop" showErrorMessage="true" sqref="C8:C13 C15:C54" type="list">
      <formula1>"已完成 ❇️ ,进行中 🔛 ,待启动 💡,已延期 💥 "</formula1>
    </dataValidation>
  </dataValidations>
  <hyperlinks>
    <hyperlink ref="J7" display="了解更多" r:id="rId1"/>
  </hyperlinks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6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15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</cols>
  <sheetData>
    <row customHeight="true" ht="10" r="1">
      <c r="A1" s="113"/>
      <c r="B1" s="112"/>
      <c r="C1" s="112"/>
      <c r="D1" s="112"/>
      <c r="E1" s="112"/>
      <c r="F1" s="112"/>
      <c r="G1" s="112"/>
      <c r="H1" s="11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customHeight="true" ht="33" r="2">
      <c r="A2" s="113"/>
      <c r="B2" s="112" t="str">
        <v>看板分析</v>
      </c>
      <c r="C2" s="112"/>
      <c r="D2" s="112"/>
      <c r="E2" s="112"/>
      <c r="F2" s="112"/>
      <c r="G2" s="112"/>
      <c r="H2" s="112"/>
      <c r="I2" s="112"/>
      <c r="J2" s="11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customHeight="true" ht="5" r="3">
      <c r="A3" s="113"/>
      <c r="B3" s="112"/>
      <c r="C3" s="112"/>
      <c r="D3" s="112"/>
      <c r="E3" s="112"/>
      <c r="F3" s="112"/>
      <c r="G3" s="112"/>
      <c r="H3" s="11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customHeight="true" ht="20" r="4">
      <c r="A4" s="2"/>
      <c r="B4" s="114"/>
      <c r="C4" s="114"/>
      <c r="D4" s="114"/>
      <c r="E4" s="114"/>
      <c r="F4" s="114"/>
      <c r="G4" s="1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customHeight="true" ht="20" r="5">
      <c r="A5" s="2"/>
      <c r="B5" s="114"/>
      <c r="C5" s="115" t="s">
        <v>2</v>
      </c>
      <c r="D5" s="115"/>
      <c r="E5" s="115"/>
      <c r="F5" s="115"/>
      <c r="G5" s="1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customHeight="true" ht="20" r="6">
      <c r="A6" s="2"/>
      <c r="B6" s="114"/>
      <c r="C6" s="115"/>
      <c r="D6" s="115"/>
      <c r="E6" s="115"/>
      <c r="F6" s="115"/>
      <c r="G6" s="116"/>
      <c r="K6" s="2"/>
      <c r="L6" s="11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>
      <c r="A7" s="2"/>
      <c r="B7" s="114"/>
      <c r="C7" s="115"/>
      <c r="D7" s="115"/>
      <c r="E7" s="115"/>
      <c r="F7" s="115"/>
      <c r="G7" s="1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>
      <c r="A8" s="2"/>
      <c r="B8" s="114"/>
      <c r="C8" s="114"/>
      <c r="D8" s="114"/>
      <c r="E8" s="114"/>
      <c r="F8" s="114"/>
      <c r="G8" s="11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customHeight="true" ht="37" r="10">
      <c r="A10" s="2"/>
      <c r="B10" s="110" t="str">
        <v>项目概览分析</v>
      </c>
      <c r="C10" s="110"/>
      <c r="D10" s="110"/>
      <c r="E10" s="110"/>
      <c r="F10" s="110"/>
      <c r="G10" s="1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customHeight="true" ht="28" r="11">
      <c r="A11" s="2"/>
      <c r="B11" s="111" t="str">
        <v>项目数量趋势分析</v>
      </c>
      <c r="C11" s="111"/>
      <c r="D11" s="2"/>
      <c r="E11" s="111" t="str">
        <v>统计项目成员任务分布情况</v>
      </c>
      <c r="F11" s="111"/>
      <c r="G11" s="1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>
      <c r="A12" s="2"/>
      <c r="D12" s="2"/>
      <c r="F12" s="2"/>
      <c r="G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>
      <c r="A13" s="2"/>
      <c r="D13" s="2"/>
      <c r="F13" s="2"/>
      <c r="G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>
      <c r="A14" s="2"/>
      <c r="D14" s="2"/>
      <c r="F14" s="2"/>
      <c r="G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>
      <c r="A15" s="2"/>
      <c r="D15" s="2"/>
      <c r="F15" s="2"/>
      <c r="G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customHeight="true" ht="20" r="16">
      <c r="A16" s="2"/>
      <c r="D16" s="2"/>
      <c r="F16" s="2"/>
      <c r="G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customHeight="true" ht="20" r="17">
      <c r="A17" s="2"/>
      <c r="B17" s="2"/>
      <c r="C17" s="2"/>
      <c r="D17" s="2"/>
      <c r="E17" s="2"/>
      <c r="F17" s="2"/>
      <c r="G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>
      <c r="A18" s="2"/>
      <c r="B18" s="2"/>
      <c r="C18" s="2"/>
      <c r="D18" s="2"/>
      <c r="E18" s="2"/>
      <c r="F18" s="2"/>
      <c r="G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customHeight="true" ht="8"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customHeight="true" ht="8"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customHeight="true" ht="8"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customHeight="true" ht="36" r="22">
      <c r="A22" s="2"/>
      <c r="B22" s="110" t="str">
        <v>项目进展实时分析</v>
      </c>
      <c r="C22" s="110"/>
      <c r="D22" s="110"/>
      <c r="E22" s="110"/>
      <c r="F22" s="110"/>
      <c r="G22" s="110"/>
      <c r="H22" s="110"/>
      <c r="I22" s="110"/>
      <c r="J22" s="11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customHeight="true" ht="26" r="23">
      <c r="A23" s="2"/>
      <c r="B23" s="111" t="str">
        <v>项目整体完成情况</v>
      </c>
      <c r="C23" s="111"/>
      <c r="D23" s="2"/>
      <c r="E23" s="111" t="str">
        <v>项目成员进展情况统计</v>
      </c>
      <c r="F23" s="111"/>
      <c r="G23" s="111"/>
      <c r="H23" s="111"/>
      <c r="I23" s="111"/>
      <c r="J23" s="11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>
      <c r="A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>
      <c r="A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>
      <c r="A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>
      <c r="A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>
      <c r="A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>
      <c r="A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>
      <c r="A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>
      <c r="A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>
      <c r="A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</row>
  </sheetData>
  <mergeCells>
    <mergeCell ref="B23:C23"/>
    <mergeCell ref="B11:C11"/>
    <mergeCell ref="B22:J22"/>
    <mergeCell ref="E23:J23"/>
    <mergeCell ref="E11:G11"/>
    <mergeCell ref="B10:G10"/>
    <mergeCell ref="C5:F7"/>
    <mergeCell ref="B2:G2"/>
  </mergeCells>
  <hyperlinks>
    <hyperlink ref="C5" display="创建及使用数据透视表" r:id="rId1"/>
  </hyperlinks>
  <picture r:id="rId6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57"/>
  </cols>
  <sheetData>
    <row customHeight="true" ht="29" r="1">
      <c r="A1" s="120" t="str">
        <v>使用说明</v>
      </c>
      <c r="B1" s="120"/>
    </row>
    <row customHeight="true" ht="29" r="2">
      <c r="A2" s="119" t="str" xml:space="preserve">
        <v>1. </v>
      </c>
      <c r="B2" s="2" t="str">
        <v>填写预计开始/结束时间后，右侧的进度表会自动标记为黄色“待启动”。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customHeight="true" ht="29" r="3">
      <c r="A3" s="119" t="str" xml:space="preserve">
        <v>2. </v>
      </c>
      <c r="B3" s="2" t="str">
        <v>填写实际开始/结束时间后，右侧的进度表会自动标记会绿色“进行中”。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customHeight="true" ht="29" r="4">
      <c r="A4" s="119" t="str" xml:space="preserve">
        <v>3. </v>
      </c>
      <c r="B4" s="2" t="str">
        <v>若实际完成时间晚于预计结束时间，进度表会标记为红色“已延期”。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customHeight="true" ht="34" r="5">
      <c r="A5" s="122" t="str" xml:space="preserve">
        <v>4. </v>
      </c>
      <c r="B5" s="123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customHeight="true" ht="29" r="6">
      <c r="B6" s="121"/>
    </row>
    <row customHeight="true" ht="29" r="7"/>
    <row customHeight="true" ht="29" r="8">
      <c r="A8" s="118"/>
    </row>
    <row customHeight="true" ht="29" r="9">
      <c r="A9" s="118"/>
    </row>
    <row customHeight="true" ht="29" r="10">
      <c r="A10" s="118"/>
    </row>
    <row customHeight="true" ht="29" r="11">
      <c r="A11" s="118"/>
    </row>
    <row customHeight="true" ht="29" r="12">
      <c r="A12" s="118"/>
    </row>
    <row customHeight="true" ht="29" r="13">
      <c r="A13" s="118"/>
    </row>
    <row customHeight="true" ht="36" r="14">
      <c r="A14" s="118"/>
    </row>
    <row customHeight="true" ht="36" r="15">
      <c r="A15" s="118"/>
    </row>
    <row customHeight="true" ht="36" r="16">
      <c r="A16" s="118"/>
    </row>
    <row r="17">
      <c r="A17" s="118"/>
    </row>
    <row r="18">
      <c r="A18" s="118"/>
    </row>
    <row r="19">
      <c r="A19" s="118"/>
    </row>
    <row r="20">
      <c r="A20" s="118"/>
    </row>
    <row r="21">
      <c r="A21" s="118"/>
    </row>
    <row r="22">
      <c r="A22" s="118"/>
    </row>
    <row r="23">
      <c r="A23" s="118"/>
    </row>
    <row r="24">
      <c r="A24" s="118"/>
    </row>
    <row r="25">
      <c r="A25" s="118"/>
    </row>
    <row r="26">
      <c r="A26" s="118"/>
    </row>
    <row r="27">
      <c r="A27" s="118"/>
    </row>
    <row r="28">
      <c r="A28" s="118"/>
    </row>
    <row r="29">
      <c r="A29" s="118"/>
    </row>
    <row r="30">
      <c r="A30" s="118"/>
    </row>
    <row r="31">
      <c r="A31" s="118"/>
    </row>
    <row r="32">
      <c r="A32" s="118"/>
    </row>
    <row r="33">
      <c r="A33" s="118"/>
    </row>
    <row r="34">
      <c r="A34" s="118"/>
    </row>
    <row r="35">
      <c r="A35" s="118"/>
    </row>
    <row r="36">
      <c r="A36" s="118"/>
    </row>
    <row r="37">
      <c r="A37" s="118"/>
    </row>
    <row r="38">
      <c r="A38" s="118"/>
    </row>
    <row r="39">
      <c r="A39" s="118"/>
    </row>
    <row r="40">
      <c r="A40" s="118"/>
    </row>
    <row r="41">
      <c r="A41" s="118"/>
    </row>
    <row r="42">
      <c r="A42" s="118"/>
    </row>
    <row r="43">
      <c r="A43" s="118"/>
    </row>
    <row r="44">
      <c r="A44" s="118"/>
    </row>
    <row r="45">
      <c r="A45" s="118"/>
    </row>
    <row r="46">
      <c r="A46" s="118"/>
    </row>
    <row r="47">
      <c r="A47" s="118"/>
    </row>
    <row r="48">
      <c r="A48" s="118"/>
    </row>
    <row r="49">
      <c r="A49" s="118"/>
    </row>
    <row r="50">
      <c r="A50" s="118"/>
    </row>
    <row r="51">
      <c r="A51" s="118"/>
    </row>
    <row r="52">
      <c r="A52" s="118"/>
    </row>
    <row r="53">
      <c r="A53" s="118"/>
    </row>
    <row r="54">
      <c r="A54" s="118"/>
    </row>
    <row r="55">
      <c r="A55" s="118"/>
    </row>
    <row r="56">
      <c r="A56" s="118"/>
    </row>
    <row r="57">
      <c r="A57" s="118"/>
    </row>
    <row r="58">
      <c r="A58" s="118"/>
    </row>
    <row r="59">
      <c r="A59" s="118"/>
    </row>
    <row r="60">
      <c r="A60" s="118"/>
    </row>
    <row r="61">
      <c r="A61" s="118"/>
    </row>
    <row r="62">
      <c r="A62" s="118"/>
    </row>
    <row r="63">
      <c r="A63" s="118"/>
    </row>
    <row r="64">
      <c r="A64" s="118"/>
    </row>
    <row r="65">
      <c r="A65" s="118"/>
    </row>
    <row r="66">
      <c r="A66" s="118"/>
    </row>
    <row r="67">
      <c r="A67" s="118"/>
    </row>
    <row r="68">
      <c r="A68" s="118"/>
    </row>
    <row r="69">
      <c r="A69" s="118"/>
    </row>
    <row r="70">
      <c r="A70" s="118"/>
    </row>
    <row r="71">
      <c r="A71" s="118"/>
    </row>
    <row r="72">
      <c r="A72" s="118"/>
    </row>
    <row r="73">
      <c r="A73" s="118"/>
    </row>
    <row r="74">
      <c r="A74" s="118"/>
    </row>
    <row r="75">
      <c r="A75" s="118"/>
    </row>
    <row r="76">
      <c r="A76" s="118"/>
    </row>
    <row r="77">
      <c r="A77" s="118"/>
    </row>
    <row r="78">
      <c r="A78" s="118"/>
    </row>
    <row r="79">
      <c r="A79" s="118"/>
    </row>
    <row r="80">
      <c r="A80" s="118"/>
    </row>
    <row r="81">
      <c r="A81" s="118"/>
    </row>
    <row r="82">
      <c r="A82" s="118"/>
    </row>
    <row r="83">
      <c r="A83" s="118"/>
    </row>
    <row r="84">
      <c r="A84" s="118"/>
    </row>
    <row r="85">
      <c r="A85" s="118"/>
    </row>
    <row r="86">
      <c r="A86" s="118"/>
    </row>
    <row r="87">
      <c r="A87" s="118"/>
    </row>
    <row r="88">
      <c r="A88" s="118"/>
    </row>
    <row r="89">
      <c r="A89" s="118"/>
    </row>
    <row r="90">
      <c r="A90" s="118"/>
    </row>
    <row r="91">
      <c r="A91" s="118"/>
    </row>
    <row r="92">
      <c r="A92" s="118"/>
    </row>
    <row r="93">
      <c r="A93" s="118"/>
    </row>
    <row r="94">
      <c r="A94" s="118"/>
    </row>
    <row r="95">
      <c r="A95" s="118"/>
    </row>
    <row r="96">
      <c r="A96" s="118"/>
    </row>
    <row r="97">
      <c r="A97" s="118"/>
    </row>
    <row r="98">
      <c r="A98" s="118"/>
    </row>
    <row r="99">
      <c r="A99" s="118"/>
    </row>
    <row r="100">
      <c r="A100" s="118"/>
    </row>
    <row r="101">
      <c r="A101" s="118"/>
    </row>
    <row r="102">
      <c r="A102" s="118"/>
    </row>
    <row r="103">
      <c r="A103" s="118"/>
    </row>
    <row r="104">
      <c r="A104" s="118"/>
    </row>
    <row r="105">
      <c r="A105" s="118"/>
    </row>
    <row r="106">
      <c r="A106" s="118"/>
    </row>
    <row r="107">
      <c r="A107" s="118"/>
    </row>
    <row r="108">
      <c r="A108" s="118"/>
    </row>
    <row r="109">
      <c r="A109" s="118"/>
    </row>
    <row r="110">
      <c r="A110" s="118"/>
    </row>
    <row r="111">
      <c r="A111" s="118"/>
    </row>
    <row r="112">
      <c r="A112" s="118"/>
    </row>
    <row r="113">
      <c r="A113" s="118"/>
    </row>
    <row r="114">
      <c r="A114" s="118"/>
    </row>
    <row r="115">
      <c r="A115" s="118"/>
    </row>
    <row r="116">
      <c r="A116" s="118"/>
    </row>
    <row r="117">
      <c r="A117" s="118"/>
    </row>
    <row r="118">
      <c r="A118" s="118"/>
    </row>
    <row r="119">
      <c r="A119" s="118"/>
    </row>
    <row r="120">
      <c r="A120" s="118"/>
    </row>
    <row r="121">
      <c r="A121" s="118"/>
    </row>
    <row r="122">
      <c r="A122" s="118"/>
    </row>
    <row r="123">
      <c r="A123" s="118"/>
    </row>
    <row r="124">
      <c r="A124" s="118"/>
    </row>
    <row r="125">
      <c r="A125" s="118"/>
    </row>
    <row r="126">
      <c r="A126" s="118"/>
    </row>
    <row r="127">
      <c r="A127" s="118"/>
    </row>
    <row r="128">
      <c r="A128" s="118"/>
    </row>
    <row r="129">
      <c r="A129" s="118"/>
    </row>
    <row r="130">
      <c r="A130" s="118"/>
    </row>
    <row r="131">
      <c r="A131" s="118"/>
    </row>
    <row r="132">
      <c r="A132" s="118"/>
    </row>
    <row r="133">
      <c r="A133" s="118"/>
    </row>
    <row r="134">
      <c r="A134" s="118"/>
    </row>
    <row r="135">
      <c r="A135" s="118"/>
    </row>
    <row r="136">
      <c r="A136" s="118"/>
    </row>
    <row r="137">
      <c r="A137" s="118"/>
    </row>
    <row r="138">
      <c r="A138" s="118"/>
    </row>
    <row r="139">
      <c r="A139" s="118"/>
    </row>
    <row r="140">
      <c r="A140" s="118"/>
    </row>
    <row r="141">
      <c r="A141" s="118"/>
    </row>
    <row r="142">
      <c r="A142" s="118"/>
    </row>
    <row r="143">
      <c r="A143" s="118"/>
    </row>
    <row r="144">
      <c r="A144" s="118"/>
    </row>
    <row r="145">
      <c r="A145" s="118"/>
    </row>
    <row r="146">
      <c r="A146" s="118"/>
    </row>
    <row r="147">
      <c r="A147" s="118"/>
    </row>
    <row r="148">
      <c r="A148" s="118"/>
    </row>
    <row r="149">
      <c r="A149" s="118"/>
    </row>
    <row r="150">
      <c r="A150" s="118"/>
    </row>
    <row r="151">
      <c r="A151" s="118"/>
    </row>
    <row r="152">
      <c r="A152" s="118"/>
    </row>
    <row r="153">
      <c r="A153" s="118"/>
    </row>
    <row r="154">
      <c r="A154" s="118"/>
    </row>
    <row r="155">
      <c r="A155" s="118"/>
    </row>
    <row r="156">
      <c r="A156" s="118"/>
    </row>
    <row r="157">
      <c r="A157" s="118"/>
    </row>
    <row r="158">
      <c r="A158" s="118"/>
    </row>
    <row r="159">
      <c r="A159" s="118"/>
    </row>
    <row r="160">
      <c r="A160" s="118"/>
    </row>
    <row r="161">
      <c r="A161" s="118"/>
    </row>
    <row r="162">
      <c r="A162" s="118"/>
    </row>
    <row r="163">
      <c r="A163" s="118"/>
    </row>
    <row r="164">
      <c r="A164" s="118"/>
    </row>
    <row r="165">
      <c r="A165" s="118"/>
    </row>
    <row r="166">
      <c r="A166" s="118"/>
    </row>
    <row r="167">
      <c r="A167" s="118"/>
    </row>
    <row r="168">
      <c r="A168" s="118"/>
    </row>
    <row r="169">
      <c r="A169" s="118"/>
    </row>
    <row r="170">
      <c r="A170" s="118"/>
    </row>
    <row r="171">
      <c r="A171" s="118"/>
    </row>
    <row r="172">
      <c r="A172" s="118"/>
    </row>
    <row r="173">
      <c r="A173" s="118"/>
    </row>
    <row r="174">
      <c r="A174" s="118"/>
    </row>
    <row r="175">
      <c r="A175" s="118"/>
    </row>
    <row r="176">
      <c r="A176" s="118"/>
    </row>
    <row r="177">
      <c r="A177" s="118"/>
    </row>
    <row r="178">
      <c r="A178" s="118"/>
    </row>
    <row r="179">
      <c r="A179" s="118"/>
    </row>
    <row r="180">
      <c r="A180" s="118"/>
    </row>
    <row r="181">
      <c r="A181" s="118"/>
    </row>
    <row r="182">
      <c r="A182" s="118"/>
    </row>
    <row r="183">
      <c r="A183" s="118"/>
    </row>
    <row r="184">
      <c r="A184" s="118"/>
    </row>
    <row r="185">
      <c r="A185" s="118"/>
    </row>
    <row r="186">
      <c r="A186" s="118"/>
    </row>
    <row r="187">
      <c r="A187" s="118"/>
    </row>
    <row r="188">
      <c r="A188" s="118"/>
    </row>
    <row r="189">
      <c r="A189" s="118"/>
    </row>
    <row r="190">
      <c r="A190" s="118"/>
    </row>
    <row r="191">
      <c r="A191" s="118"/>
    </row>
    <row r="192">
      <c r="A192" s="118"/>
    </row>
    <row r="193">
      <c r="A193" s="118"/>
    </row>
    <row r="194">
      <c r="A194" s="118"/>
    </row>
    <row r="195">
      <c r="A195" s="118"/>
    </row>
    <row r="196">
      <c r="A196" s="118"/>
    </row>
    <row r="197">
      <c r="A197" s="118"/>
    </row>
    <row r="198">
      <c r="A198" s="118"/>
    </row>
    <row r="199">
      <c r="A199" s="118"/>
    </row>
    <row r="200">
      <c r="A200" s="118"/>
    </row>
    <row r="201">
      <c r="A201" s="118"/>
    </row>
    <row r="202">
      <c r="A202" s="118"/>
    </row>
    <row r="203">
      <c r="A203" s="118"/>
    </row>
    <row r="204">
      <c r="A204" s="118"/>
    </row>
    <row r="205">
      <c r="A205" s="118"/>
    </row>
    <row r="206">
      <c r="A206" s="118"/>
    </row>
  </sheetData>
  <mergeCells>
    <mergeCell ref="A1:B1"/>
  </mergeCells>
  <hyperlinks>
    <hyperlink ref="B5" display="项目甘特图Pro模板" r:id="rId1"/>
  </hyperlin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