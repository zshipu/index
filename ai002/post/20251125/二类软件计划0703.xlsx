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云端单导静态提示软件注册项目滚动计划" sheetId="2" r:id="rId5"/>
    <sheet name="动态分析4.0软件注册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<sst xmlns="http://schemas.openxmlformats.org/spreadsheetml/2006/main" count="1" uniqueCount="1">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</sst>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164" formatCode="yyyy&quot;年&quot;m&quot;月&quot;d&quot;日&quot;"/>
    <numFmt numFmtId="165" formatCode="yyyy&quot;年&quot;m&quot;月&quot;d&quot;日&quot;"/>
    <numFmt numFmtId="166" formatCode="@"/>
    <numFmt numFmtId="167" formatCode="@"/>
    <numFmt numFmtId="168" formatCode="@"/>
    <numFmt numFmtId="169" formatCode="yyyy&quot;年&quot;m&quot;月&quot;d&quot;日&quot;"/>
    <numFmt numFmtId="170" formatCode="@"/>
    <numFmt numFmtId="171" formatCode="@"/>
    <numFmt numFmtId="172" formatCode="yyyy&quot;年&quot;m&quot;月&quot;d&quot;日&quot;"/>
    <numFmt numFmtId="173" formatCode="yyyy&quot;年&quot;m&quot;月&quot;d&quot;日&quot;"/>
    <numFmt numFmtId="174" formatCode="yyyy&quot;年&quot;m&quot;月&quot;d&quot;日&quot;"/>
    <numFmt numFmtId="175" formatCode="@"/>
    <numFmt numFmtId="176" formatCode="@"/>
    <numFmt numFmtId="177" formatCode="@"/>
    <numFmt numFmtId="178" formatCode="@"/>
    <numFmt numFmtId="179" formatCode="@"/>
    <numFmt numFmtId="180" formatCode="@"/>
    <numFmt numFmtId="181" formatCode="0.0%"/>
  </numFmts>
  <fonts count="8">
    <font>
      <sz val="10"/>
      <color theme="1"/>
      <name val="Calibri"/>
      <family val="2"/>
      <scheme val="minor"/>
    </font>
    <font>
      <sz val="9.75"/>
      <color rgb="FF004C7F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4C7F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FEFFFE"/>
      <name val="Calibri"/>
      <family val="2"/>
      <scheme val="minor"/>
    </font>
    <font>
      <sz val="9.75"/>
      <color rgb="FFFEFFFE"/>
      <name val="Calibri"/>
      <family val="2"/>
      <scheme val="minor"/>
    </font>
    <font>
      <b val="true"/>
      <sz val="12.75"/>
      <color rgb="FF000000"/>
      <name val="Calibri"/>
      <family val="2"/>
      <scheme val="minor"/>
    </font>
  </fonts>
  <fills count="3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EFFFE"/>
        <bgColor/>
      </patternFill>
    </fill>
    <fill>
      <patternFill patternType="solid">
        <fgColor rgb="FFFEFFFE"/>
        <bgColor/>
      </patternFill>
    </fill>
    <fill>
      <patternFill patternType="solid">
        <fgColor rgb="FFECECEC"/>
        <bgColor/>
      </patternFill>
    </fill>
    <fill>
      <patternFill patternType="solid">
        <fgColor rgb="FFECECEC"/>
        <bgColor/>
      </patternFill>
    </fill>
    <fill>
      <patternFill patternType="solid">
        <fgColor rgb="FFFEFFFE"/>
        <bgColor/>
      </patternFill>
    </fill>
    <fill>
      <patternFill patternType="solid">
        <fgColor rgb="FFECECEC"/>
        <bgColor/>
      </patternFill>
    </fill>
    <fill>
      <patternFill patternType="solid">
        <fgColor rgb="FFECECEC"/>
        <bgColor/>
      </patternFill>
    </fill>
    <fill>
      <patternFill patternType="solid">
        <fgColor rgb="FFFEFFFE"/>
        <bgColor/>
      </patternFill>
    </fill>
    <fill>
      <patternFill patternType="solid">
        <fgColor rgb="FFFEFFFE"/>
        <bgColor/>
      </patternFill>
    </fill>
    <fill>
      <patternFill patternType="solid">
        <fgColor rgb="FFFEFFFE"/>
        <bgColor/>
      </patternFill>
    </fill>
    <fill>
      <patternFill patternType="solid">
        <fgColor rgb="FFFEFFFE"/>
        <bgColor/>
      </patternFill>
    </fill>
    <fill>
      <patternFill patternType="solid">
        <fgColor rgb="FFFEFFFE"/>
        <bgColor/>
      </patternFill>
    </fill>
    <fill>
      <patternFill patternType="solid">
        <fgColor rgb="FFFEFFFE"/>
        <bgColor/>
      </patternFill>
    </fill>
    <fill>
      <patternFill patternType="solid">
        <fgColor rgb="FFFEFFFE"/>
        <bgColor/>
      </patternFill>
    </fill>
    <fill>
      <patternFill patternType="solid">
        <fgColor rgb="FFFEFFFE"/>
        <bgColor/>
      </patternFill>
    </fill>
    <fill>
      <patternFill patternType="solid">
        <fgColor rgb="FFECECEC"/>
        <bgColor/>
      </patternFill>
    </fill>
    <fill>
      <patternFill patternType="solid">
        <fgColor rgb="FFECECEC"/>
        <bgColor/>
      </patternFill>
    </fill>
    <fill>
      <patternFill patternType="solid">
        <fgColor rgb="FFFEFFFE"/>
        <bgColor/>
      </patternFill>
    </fill>
    <fill>
      <patternFill patternType="solid">
        <fgColor rgb="FFFEFFFE"/>
        <bgColor/>
      </patternFill>
    </fill>
    <fill>
      <patternFill patternType="solid">
        <fgColor rgb="FFFEFFFE"/>
        <bgColor/>
      </patternFill>
    </fill>
    <fill>
      <patternFill patternType="solid">
        <fgColor rgb="FFFEFFFE"/>
        <bgColor/>
      </patternFill>
    </fill>
    <fill>
      <patternFill patternType="solid">
        <fgColor rgb="FFFEFFFE"/>
        <bgColor/>
      </patternFill>
    </fill>
    <fill>
      <patternFill patternType="solid">
        <fgColor rgb="FFFEFFFE"/>
        <bgColor/>
      </patternFill>
    </fill>
    <fill>
      <patternFill patternType="solid">
        <fgColor rgb="FFFEFFFE"/>
        <bgColor/>
      </patternFill>
    </fill>
    <fill>
      <patternFill patternType="solid">
        <fgColor rgb="FFFEFFFE"/>
        <bgColor/>
      </patternFill>
    </fill>
    <fill>
      <patternFill patternType="solid">
        <fgColor rgb="FF004C7F"/>
        <bgColor/>
      </patternFill>
    </fill>
    <fill>
      <patternFill patternType="solid">
        <fgColor rgb="FF004C7F"/>
        <bgColor/>
      </patternFill>
    </fill>
    <fill>
      <patternFill patternType="solid">
        <fgColor rgb="FF004C7F"/>
        <bgColor/>
      </patternFill>
    </fill>
    <fill>
      <patternFill patternType="solid">
        <fgColor rgb="FFFFD38A"/>
        <bgColor/>
      </patternFill>
    </fill>
    <fill>
      <patternFill patternType="solid">
        <fgColor rgb="FFAFE489"/>
        <bgColor/>
      </patternFill>
    </fill>
    <fill>
      <patternFill patternType="solid">
        <fgColor rgb="FF88CCFF"/>
        <bgColor/>
      </patternFill>
    </fill>
    <fill>
      <patternFill patternType="solid">
        <fgColor rgb="FFECECEC"/>
        <bgColor/>
      </patternFill>
    </fill>
  </fills>
  <borders count="3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3F3F3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3F3F3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3F3F3F"/>
      </right>
      <top style="thin">
        <color rgb="FFBFBFBF"/>
      </top>
      <bottom style="thin">
        <color rgb="FFBFBFBF"/>
      </bottom>
      <diagonal/>
    </border>
    <border>
      <left style="thin">
        <color rgb="FF3F3F3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3F3F3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3F3F3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3F3F3F"/>
      </top>
      <bottom style="thin">
        <color rgb="FFBFBFBF"/>
      </bottom>
      <diagonal/>
    </border>
    <border>
      <left style="thin">
        <color rgb="FF3F3F3F"/>
      </left>
      <right style="thin">
        <color rgb="FFBFBFBF"/>
      </right>
      <top style="thin">
        <color rgb="FF3F3F3F"/>
      </top>
      <bottom style="thin">
        <color rgb="FFBFBFBF"/>
      </bottom>
      <diagonal/>
    </border>
    <border>
      <left style="thin">
        <color rgb="FFBFBFBF"/>
      </left>
      <right style="thin">
        <color rgb="FF3F3F3F"/>
      </right>
      <top style="thin">
        <color rgb="FF3F3F3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3F3F3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3F3F3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3F3F3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3F3F3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3F3F3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3F3F3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top" wrapText="true"/>
    </xf>
    <xf applyAlignment="true" applyBorder="false" applyFill="true" applyFont="true" applyNumberFormat="true" applyProtection="false" borderId="2" fillId="3" fontId="2" numFmtId="164" xfId="0">
      <alignment horizontal="left" vertical="top" wrapText="true"/>
    </xf>
    <xf applyAlignment="true" applyBorder="false" applyFill="true" applyFont="true" applyNumberFormat="false" applyProtection="false" borderId="3" fillId="4" fontId="2" numFmtId="0" xfId="0">
      <alignment vertical="top" wrapText="true"/>
    </xf>
    <xf applyAlignment="true" applyBorder="false" applyFill="true" applyFont="true" applyNumberFormat="true" applyProtection="false" borderId="4" fillId="5" fontId="2" numFmtId="165" xfId="0">
      <alignment horizontal="left" vertical="top" wrapText="true"/>
    </xf>
    <xf applyAlignment="true" applyBorder="false" applyFill="true" applyFont="true" applyNumberFormat="false" applyProtection="false" borderId="5" fillId="6" fontId="3" numFmtId="0" xfId="0">
      <alignment vertical="top" wrapText="true"/>
    </xf>
    <xf applyAlignment="true" applyBorder="false" applyFill="true" applyFont="true" applyNumberFormat="false" applyProtection="false" borderId="6" fillId="7" fontId="2" numFmtId="0" xfId="0">
      <alignment horizontal="left" vertical="top" wrapText="true"/>
    </xf>
    <xf applyAlignment="true" applyBorder="false" applyFill="true" applyFont="true" applyNumberFormat="true" applyProtection="false" borderId="7" fillId="8" fontId="2" numFmtId="166" xfId="0">
      <alignment vertical="top" wrapText="true"/>
    </xf>
    <xf applyAlignment="true" applyBorder="false" applyFill="true" applyFont="true" applyNumberFormat="true" applyProtection="false" borderId="8" fillId="9" fontId="1" numFmtId="167" xfId="0">
      <alignment vertical="top" wrapText="true"/>
    </xf>
    <xf applyAlignment="true" applyBorder="false" applyFill="true" applyFont="true" applyNumberFormat="true" applyProtection="false" borderId="9" fillId="10" fontId="2" numFmtId="168" xfId="0">
      <alignment vertical="top" wrapText="true"/>
    </xf>
    <xf applyAlignment="true" applyBorder="false" applyFill="true" applyFont="true" applyNumberFormat="true" applyProtection="false" borderId="10" fillId="11" fontId="2" numFmtId="169" xfId="0">
      <alignment horizontal="left" vertical="top" wrapText="true"/>
    </xf>
    <xf applyAlignment="true" applyBorder="false" applyFill="true" applyFont="true" applyNumberFormat="false" applyProtection="false" borderId="11" fillId="12" fontId="2" numFmtId="0" xfId="0">
      <alignment vertical="top" wrapText="true"/>
    </xf>
    <xf applyAlignment="true" applyBorder="false" applyFill="true" applyFont="true" applyNumberFormat="false" applyProtection="false" borderId="12" fillId="13" fontId="4" numFmtId="0" xfId="0">
      <alignment vertical="top" wrapText="true"/>
    </xf>
    <xf applyAlignment="true" applyBorder="false" applyFill="true" applyFont="true" applyNumberFormat="false" applyProtection="false" borderId="13" fillId="14" fontId="2" numFmtId="0" xfId="0">
      <alignment horizontal="left" vertical="top" wrapText="true"/>
    </xf>
    <xf applyAlignment="true" applyBorder="false" applyFill="true" applyFont="true" applyNumberFormat="true" applyProtection="false" borderId="14" fillId="15" fontId="1" numFmtId="170" xfId="0">
      <alignment horizontal="center" vertical="center" wrapText="true"/>
    </xf>
    <xf applyAlignment="true" applyBorder="false" applyFill="true" applyFont="true" applyNumberFormat="true" applyProtection="false" borderId="15" fillId="16" fontId="3" numFmtId="171" xfId="0">
      <alignment vertical="top" wrapText="true"/>
    </xf>
    <xf applyAlignment="true" applyBorder="false" applyFill="true" applyFont="true" applyNumberFormat="true" applyProtection="false" borderId="16" fillId="17" fontId="2" numFmtId="172" xfId="0">
      <alignment horizontal="left" vertical="top" wrapText="true"/>
    </xf>
    <xf applyAlignment="true" applyBorder="false" applyFill="true" applyFont="true" applyNumberFormat="false" applyProtection="false" borderId="17" fillId="18" fontId="4" numFmtId="0" xfId="0">
      <alignment vertical="top" wrapText="true"/>
    </xf>
    <xf applyAlignment="true" applyBorder="false" applyFill="true" applyFont="true" applyNumberFormat="false" applyProtection="false" borderId="18" fillId="19" fontId="2" numFmtId="0" xfId="0">
      <alignment vertical="top" wrapText="true"/>
    </xf>
    <xf applyAlignment="true" applyBorder="false" applyFill="true" applyFont="true" applyNumberFormat="false" applyProtection="false" borderId="19" fillId="20" fontId="1" numFmtId="0" xfId="0">
      <alignment vertical="top" wrapText="true"/>
    </xf>
    <xf applyAlignment="true" applyBorder="false" applyFill="true" applyFont="true" applyNumberFormat="true" applyProtection="false" borderId="20" fillId="21" fontId="2" numFmtId="173" xfId="0">
      <alignment horizontal="left" vertical="top" wrapText="true"/>
    </xf>
    <xf applyAlignment="true" applyBorder="false" applyFill="true" applyFont="true" applyNumberFormat="true" applyProtection="false" borderId="21" fillId="22" fontId="2" numFmtId="174" xfId="0">
      <alignment horizontal="left" vertical="top" wrapText="true"/>
    </xf>
    <xf applyAlignment="true" applyBorder="false" applyFill="true" applyFont="true" applyNumberFormat="true" applyProtection="false" borderId="22" fillId="23" fontId="1" numFmtId="175" xfId="0">
      <alignment vertical="top" wrapText="true"/>
    </xf>
    <xf applyAlignment="true" applyBorder="false" applyFill="true" applyFont="true" applyNumberFormat="true" applyProtection="false" borderId="23" fillId="24" fontId="2" numFmtId="176" xfId="0">
      <alignment vertical="top" wrapText="true"/>
    </xf>
    <xf applyAlignment="true" applyBorder="false" applyFill="true" applyFont="true" applyNumberFormat="true" applyProtection="false" borderId="24" fillId="25" fontId="1" numFmtId="177" xfId="0">
      <alignment horizontal="center" vertical="center" wrapText="true"/>
    </xf>
    <xf applyAlignment="true" applyBorder="false" applyFill="true" applyFont="true" applyNumberFormat="false" applyProtection="false" borderId="25" fillId="26" fontId="2" numFmtId="0" xfId="0">
      <alignment horizontal="left" vertical="top" wrapText="true"/>
    </xf>
    <xf applyAlignment="true" applyBorder="false" applyFill="true" applyFont="true" applyNumberFormat="true" applyProtection="false" borderId="26" fillId="27" fontId="5" numFmtId="178" xfId="0">
      <alignment vertical="top" wrapText="true"/>
    </xf>
    <xf applyAlignment="true" applyBorder="false" applyFill="true" applyFont="true" applyNumberFormat="true" applyProtection="false" borderId="27" fillId="28" fontId="5" numFmtId="179" xfId="0">
      <alignment horizontal="left" vertical="top" wrapText="true"/>
    </xf>
    <xf applyAlignment="true" applyBorder="false" applyFill="true" applyFont="true" applyNumberFormat="true" applyProtection="false" borderId="28" fillId="29" fontId="6" numFmtId="180" xfId="0">
      <alignment vertical="top" wrapText="true"/>
    </xf>
    <xf applyAlignment="true" applyBorder="false" applyFill="false" applyFont="true" applyNumberFormat="false" applyProtection="false" borderId="29" fillId="0" fontId="7" numFmtId="0" xfId="0">
      <alignment horizontal="center" vertical="center"/>
    </xf>
    <xf applyAlignment="false" applyBorder="false" applyFill="true" applyFont="false" applyNumberFormat="false" applyProtection="false" borderId="30" fillId="30" fontId="0" numFmtId="0" xfId="0">
      <alignment/>
    </xf>
    <xf applyAlignment="false" applyBorder="false" applyFill="true" applyFont="false" applyNumberFormat="false" applyProtection="false" borderId="31" fillId="31" fontId="0" numFmtId="0" xfId="0">
      <alignment/>
    </xf>
    <xf applyAlignment="false" applyBorder="false" applyFill="true" applyFont="false" applyNumberFormat="false" applyProtection="false" borderId="32" fillId="32" fontId="0" numFmtId="0" xfId="0">
      <alignment/>
    </xf>
    <xf applyAlignment="true" applyBorder="false" applyFill="true" applyFont="true" applyNumberFormat="true" applyProtection="false" borderId="33" fillId="33" fontId="2" numFmtId="181" xfId="0">
      <alignment vertical="top" wrapText="true"/>
    </xf>
  </cellXfs>
  <cellStyles count="1">
    <cellStyle builtinId="0" name="Normal" xfId="0"/>
  </cellStyles>
  <dxfs count="6">
    <dxf>
      <fill>
        <patternFill patternType="solid">
          <fgColor/>
          <bgColor rgb="FFFFD38A"/>
        </patternFill>
      </fill>
    </dxf>
    <dxf>
      <fill>
        <patternFill patternType="solid">
          <fgColor/>
          <bgColor rgb="FFAFE489"/>
        </patternFill>
      </fill>
    </dxf>
    <dxf>
      <fill>
        <patternFill patternType="solid">
          <fgColor/>
          <bgColor rgb="FF88CCFF"/>
        </patternFill>
      </fill>
    </dxf>
    <dxf>
      <fill>
        <patternFill patternType="solid">
          <fgColor/>
          <bgColor rgb="FFFFD38A"/>
        </patternFill>
      </fill>
    </dxf>
    <dxf>
      <fill>
        <patternFill patternType="solid">
          <fgColor/>
          <bgColor rgb="FFAFE489"/>
        </patternFill>
      </fill>
    </dxf>
    <dxf>
      <fill>
        <patternFill patternType="solid">
          <fgColor/>
          <bgColor rgb="FF88CCFF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>
      <pane state="frozen" topLeftCell="D3" xSplit="3" ySplit="2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20"/>
    <col collapsed="false" customWidth="true" hidden="false" max="3" min="3" style="0" width="28"/>
    <col collapsed="false" customWidth="true" hidden="false" max="4" min="4" style="0" width="16"/>
    <col collapsed="false" customWidth="true" hidden="false" max="5" min="5" style="0" width="15"/>
    <col collapsed="false" customWidth="true" hidden="false" max="6" min="6" style="0" width="6"/>
    <col collapsed="false" customWidth="true" hidden="false" max="7" min="7" style="0" width="15"/>
    <col collapsed="false" customWidth="true" hidden="false" max="8" min="8" style="0" width="9"/>
    <col collapsed="false" customWidth="true" hidden="false" max="9" min="9" style="0" width="12"/>
    <col collapsed="false" customWidth="true" hidden="false" max="10" min="10" style="0" width="16"/>
    <col collapsed="false" customWidth="true" hidden="false" max="11" min="11" style="0" width="12"/>
    <col collapsed="false" customWidth="true" hidden="false" max="12" min="12" style="0" width="13"/>
    <col collapsed="false" customWidth="true" hidden="false" max="13" min="13" style="0" width="15"/>
    <col collapsed="false" customWidth="true" hidden="false" max="14" min="14" style="0" width="9"/>
    <col collapsed="false" customWidth="true" hidden="false" max="15" min="15" style="0" width="16"/>
    <col collapsed="false" customWidth="true" hidden="false" max="16" min="16" style="0" width="18"/>
    <col collapsed="false" customWidth="true" hidden="false" max="17" min="17" style="0" width="18"/>
    <col collapsed="false" customWidth="true" hidden="false" max="18" min="18" style="0" width="18"/>
    <col collapsed="false" customWidth="true" hidden="false" max="19" min="19" style="0" width="18"/>
    <col collapsed="false" customWidth="true" hidden="false" max="20" min="20" style="0" width="18"/>
  </cols>
  <sheetData>
    <row customHeight="true" ht="35" r="1">
      <c r="A1" s="29" t="str">
        <v>云端单导静态提示软件注册项目滚动计划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customHeight="true" ht="24" r="2">
      <c r="A2" s="26" t="str">
        <v>序号</v>
      </c>
      <c r="B2" s="26" t="str">
        <v>项目/材料归类</v>
      </c>
      <c r="C2" s="26" t="str">
        <v>任务/材料清单</v>
      </c>
      <c r="D2" s="27" t="str">
        <v>开始时间</v>
      </c>
      <c r="E2" s="27" t="str">
        <v>计划结束时间</v>
      </c>
      <c r="F2" s="27" t="str">
        <v>天数</v>
      </c>
      <c r="G2" s="26" t="str">
        <v>责任人</v>
      </c>
      <c r="H2" s="28" t="str">
        <v>备注</v>
      </c>
      <c r="I2" s="28" t="str">
        <v>完成进度</v>
      </c>
      <c r="J2" s="26" t="str">
        <v>状态</v>
      </c>
      <c r="K2" s="28" t="str">
        <v>内部审核人</v>
      </c>
      <c r="L2" s="28" t="str">
        <v>开始时间</v>
      </c>
      <c r="M2" s="28" t="str">
        <v>结束时间</v>
      </c>
      <c r="N2" s="28" t="str">
        <v>天数</v>
      </c>
      <c r="O2" s="26" t="str">
        <v>备注</v>
      </c>
    </row>
    <row customHeight="true" ht="22" r="3">
      <c r="A3" s="19">
        <v>1</v>
      </c>
      <c r="B3" s="24" t="str">
        <v>项目筹备</v>
      </c>
      <c r="C3" s="22" t="str">
        <v>项目论证筹备</v>
      </c>
      <c r="D3" s="21">
        <v>43587</v>
      </c>
      <c r="E3" s="20">
        <v>43642</v>
      </c>
      <c r="F3" s="25">
        <f>IF(E3-D3=0,1,E3-D3)</f>
      </c>
      <c r="G3" s="23" t="str">
        <v>顾总</v>
      </c>
      <c r="H3" s="18"/>
      <c r="I3" s="18"/>
      <c r="J3" s="23" t="str">
        <v>已完成</v>
      </c>
      <c r="K3" s="18"/>
      <c r="L3" s="18"/>
      <c r="M3" s="18"/>
      <c r="N3" s="18"/>
      <c r="O3" s="18"/>
    </row>
    <row customHeight="true" ht="22" r="4">
      <c r="A4" s="1">
        <f>$A3+1</f>
      </c>
      <c r="B4" s="5"/>
      <c r="C4" s="8" t="str">
        <v>供应商选型</v>
      </c>
      <c r="D4" s="16"/>
      <c r="E4" s="4"/>
      <c r="F4" s="6">
        <f>IF(E4-D4=0,1,E4-D4)</f>
      </c>
      <c r="G4" s="7" t="str">
        <v>静总</v>
      </c>
      <c r="H4" s="3"/>
      <c r="I4" s="3"/>
      <c r="J4" s="7" t="str">
        <v>已完成</v>
      </c>
      <c r="K4" s="3"/>
      <c r="L4" s="3"/>
      <c r="M4" s="3"/>
      <c r="N4" s="3"/>
      <c r="O4" s="3"/>
    </row>
    <row customHeight="true" ht="22" r="5">
      <c r="A5" s="1">
        <f>$A4+1</f>
      </c>
      <c r="B5" s="5"/>
      <c r="C5" s="8" t="str">
        <v>供应商确认</v>
      </c>
      <c r="D5" s="10"/>
      <c r="E5" s="2"/>
      <c r="F5" s="13">
        <f>IF(E5-D5=0,1,E5-D5)</f>
      </c>
      <c r="G5" s="9" t="str">
        <v>静总</v>
      </c>
      <c r="H5" s="11"/>
      <c r="I5" s="11"/>
      <c r="J5" s="9" t="str">
        <v>进行中</v>
      </c>
      <c r="K5" s="11"/>
      <c r="L5" s="11"/>
      <c r="M5" s="11"/>
      <c r="N5" s="11"/>
      <c r="O5" s="11"/>
    </row>
    <row customHeight="true" ht="22" r="6">
      <c r="A6" s="1">
        <f>$A5+1</f>
      </c>
      <c r="B6" s="5"/>
      <c r="C6" s="8" t="str">
        <v>供应商签订协议</v>
      </c>
      <c r="D6" s="16"/>
      <c r="E6" s="4"/>
      <c r="F6" s="6">
        <f>IF(E6-D6=0,1,E6-D6)</f>
      </c>
      <c r="G6" s="7" t="str">
        <v>静总</v>
      </c>
      <c r="H6" s="3"/>
      <c r="I6" s="3"/>
      <c r="J6" s="7" t="str">
        <v>进行中</v>
      </c>
      <c r="K6" s="3"/>
      <c r="L6" s="3"/>
      <c r="M6" s="3"/>
      <c r="N6" s="3"/>
      <c r="O6" s="3"/>
    </row>
    <row customHeight="true" ht="22" r="7">
      <c r="A7" s="1">
        <f>$A6+1</f>
      </c>
      <c r="B7" s="5"/>
      <c r="C7" s="8" t="str">
        <v>项目启动</v>
      </c>
      <c r="D7" s="10">
        <v>43642</v>
      </c>
      <c r="E7" s="2">
        <v>43642</v>
      </c>
      <c r="F7" s="13">
        <f>IF(E7-D7=0,1,(E7-D7)+1)</f>
      </c>
      <c r="G7" s="9" t="str">
        <v>李磊</v>
      </c>
      <c r="H7" s="11"/>
      <c r="I7" s="11"/>
      <c r="J7" s="9" t="str">
        <v>已完成</v>
      </c>
      <c r="K7" s="11"/>
      <c r="L7" s="11"/>
      <c r="M7" s="11"/>
      <c r="N7" s="11"/>
      <c r="O7" s="11"/>
    </row>
    <row customHeight="true" ht="22" r="8">
      <c r="A8" s="1">
        <f>$A7+1</f>
      </c>
      <c r="B8" s="5"/>
      <c r="C8" s="8" t="str">
        <v>分类鉴定</v>
      </c>
      <c r="D8" s="16"/>
      <c r="E8" s="4"/>
      <c r="F8" s="6"/>
      <c r="G8" s="7" t="str">
        <v>姚俨铃</v>
      </c>
      <c r="H8" s="7" t="str">
        <v>不用</v>
      </c>
      <c r="I8" s="3"/>
      <c r="J8" s="7" t="str">
        <v>未开始</v>
      </c>
      <c r="K8" s="3"/>
      <c r="L8" s="3"/>
      <c r="M8" s="3"/>
      <c r="N8" s="3"/>
      <c r="O8" s="3"/>
    </row>
    <row customHeight="true" ht="22" r="9">
      <c r="A9" s="1">
        <f>$A8+1</f>
      </c>
      <c r="B9" s="5"/>
      <c r="C9" s="8" t="str">
        <v>产品名称确认</v>
      </c>
      <c r="D9" s="10"/>
      <c r="E9" s="2"/>
      <c r="F9" s="13"/>
      <c r="G9" s="9" t="str">
        <v>顾总</v>
      </c>
      <c r="H9" s="11"/>
      <c r="I9" s="11"/>
      <c r="J9" s="9" t="str">
        <v>未开始</v>
      </c>
      <c r="K9" s="11"/>
      <c r="L9" s="11"/>
      <c r="M9" s="11"/>
      <c r="N9" s="11"/>
      <c r="O9" s="11"/>
    </row>
    <row customHeight="true" ht="22" r="10">
      <c r="A10" s="1">
        <f>$A9+1</f>
      </c>
      <c r="B10" s="5"/>
      <c r="C10" s="8" t="str">
        <v>名称合规性审查</v>
      </c>
      <c r="D10" s="16">
        <v>43645</v>
      </c>
      <c r="E10" s="4">
        <v>43645</v>
      </c>
      <c r="F10" s="6"/>
      <c r="G10" s="7" t="str">
        <v>姚俨铃</v>
      </c>
      <c r="H10" s="3"/>
      <c r="I10" s="3"/>
      <c r="J10" s="7" t="str">
        <v>未开始</v>
      </c>
      <c r="K10" s="3"/>
      <c r="L10" s="3"/>
      <c r="M10" s="3"/>
      <c r="N10" s="3"/>
      <c r="O10" s="3"/>
    </row>
    <row customHeight="true" ht="22" r="11">
      <c r="A11" s="1">
        <f>$A10+1</f>
      </c>
      <c r="B11" s="14" t="str">
        <v>产品研发</v>
      </c>
      <c r="C11" s="8" t="str">
        <v>需求编写</v>
      </c>
      <c r="D11" s="10">
        <v>43645</v>
      </c>
      <c r="E11" s="2">
        <v>43655</v>
      </c>
      <c r="F11" s="13"/>
      <c r="G11" s="9" t="str">
        <v>张文慧</v>
      </c>
      <c r="H11" s="11"/>
      <c r="I11" s="11"/>
      <c r="J11" s="9" t="str">
        <v>未开始</v>
      </c>
      <c r="K11" s="9"/>
      <c r="L11" s="2"/>
      <c r="M11" s="2"/>
      <c r="N11" s="11"/>
      <c r="O11" s="11"/>
    </row>
    <row customHeight="true" ht="22" r="12">
      <c r="A12" s="1">
        <f>$A11+1</f>
      </c>
      <c r="B12" s="5"/>
      <c r="C12" s="8" t="str">
        <v>产品功能列表</v>
      </c>
      <c r="D12" s="16">
        <v>43645</v>
      </c>
      <c r="E12" s="4">
        <v>43645</v>
      </c>
      <c r="F12" s="6"/>
      <c r="G12" s="7" t="str">
        <v>张文慧</v>
      </c>
      <c r="H12" s="3"/>
      <c r="I12" s="3"/>
      <c r="J12" s="7" t="str">
        <v>未开始</v>
      </c>
      <c r="K12" s="7"/>
      <c r="L12" s="4"/>
      <c r="M12" s="4"/>
      <c r="N12" s="3"/>
      <c r="O12" s="3"/>
    </row>
    <row customHeight="true" ht="22" r="13">
      <c r="A13" s="1">
        <f>$A11+1</f>
      </c>
      <c r="B13" s="5"/>
      <c r="C13" s="8" t="str">
        <v>需求确认</v>
      </c>
      <c r="D13" s="10">
        <v>43655</v>
      </c>
      <c r="E13" s="2">
        <v>43660</v>
      </c>
      <c r="F13" s="13"/>
      <c r="G13" s="9" t="str">
        <v>张文慧</v>
      </c>
      <c r="H13" s="11"/>
      <c r="I13" s="11"/>
      <c r="J13" s="9" t="str">
        <v>未开始</v>
      </c>
      <c r="K13" s="9"/>
      <c r="L13" s="2"/>
      <c r="M13" s="2"/>
      <c r="N13" s="11"/>
      <c r="O13" s="11"/>
    </row>
    <row customHeight="true" ht="22" r="14">
      <c r="A14" s="1">
        <f>$A13+1</f>
      </c>
      <c r="B14" s="5"/>
      <c r="C14" s="8" t="str">
        <v>概要设计</v>
      </c>
      <c r="D14" s="16"/>
      <c r="E14" s="4"/>
      <c r="F14" s="6"/>
      <c r="G14" s="7" t="str">
        <v>张检总</v>
      </c>
      <c r="H14" s="3"/>
      <c r="I14" s="3"/>
      <c r="J14" s="7" t="str">
        <v>未开始</v>
      </c>
      <c r="K14" s="3"/>
      <c r="L14" s="4"/>
      <c r="M14" s="4"/>
      <c r="N14" s="3"/>
      <c r="O14" s="3"/>
    </row>
    <row customHeight="true" ht="22" r="15">
      <c r="A15" s="1">
        <f>$A14+1</f>
      </c>
      <c r="B15" s="5"/>
      <c r="C15" s="8" t="str">
        <v>详细设计</v>
      </c>
      <c r="D15" s="10"/>
      <c r="E15" s="2"/>
      <c r="F15" s="13"/>
      <c r="G15" s="9" t="str">
        <v>张检总</v>
      </c>
      <c r="H15" s="11"/>
      <c r="I15" s="11"/>
      <c r="J15" s="9" t="str">
        <v>未开始</v>
      </c>
      <c r="K15" s="11"/>
      <c r="L15" s="2"/>
      <c r="M15" s="2"/>
      <c r="N15" s="11"/>
      <c r="O15" s="11"/>
    </row>
    <row customHeight="true" ht="22" r="16">
      <c r="A16" s="1">
        <f>$A15+1</f>
      </c>
      <c r="B16" s="5"/>
      <c r="C16" s="8" t="str">
        <v>技术要求</v>
      </c>
      <c r="D16" s="16"/>
      <c r="E16" s="4"/>
      <c r="F16" s="6"/>
      <c r="G16" s="7" t="str">
        <v>张文慧</v>
      </c>
      <c r="H16" s="3"/>
      <c r="I16" s="3"/>
      <c r="J16" s="7" t="str">
        <v>未开始</v>
      </c>
      <c r="K16" s="3"/>
      <c r="L16" s="4"/>
      <c r="M16" s="4"/>
      <c r="N16" s="3"/>
      <c r="O16" s="3"/>
    </row>
    <row customHeight="true" ht="22" r="17">
      <c r="A17" s="1"/>
      <c r="B17" s="5"/>
      <c r="C17" s="8" t="str">
        <v>算法需求确认</v>
      </c>
      <c r="D17" s="10">
        <v>43655</v>
      </c>
      <c r="E17" s="2">
        <v>43660</v>
      </c>
      <c r="F17" s="6"/>
      <c r="G17" s="9" t="str">
        <v>符总</v>
      </c>
      <c r="H17" s="3"/>
      <c r="I17" s="3"/>
      <c r="J17" s="7"/>
      <c r="K17" s="3"/>
      <c r="L17" s="4"/>
      <c r="M17" s="4"/>
      <c r="N17" s="3"/>
      <c r="O17" s="3"/>
    </row>
    <row customHeight="true" ht="22" r="18">
      <c r="A18" s="1"/>
      <c r="B18" s="5"/>
      <c r="C18" s="8" t="str">
        <v>算法概要设计</v>
      </c>
      <c r="D18" s="10">
        <v>43660</v>
      </c>
      <c r="E18" s="2">
        <v>43666</v>
      </c>
      <c r="F18" s="6"/>
      <c r="G18" s="9" t="str">
        <v>符总</v>
      </c>
      <c r="H18" s="3"/>
      <c r="I18" s="3"/>
      <c r="J18" s="7"/>
      <c r="K18" s="3"/>
      <c r="L18" s="4"/>
      <c r="M18" s="4"/>
      <c r="N18" s="3"/>
      <c r="O18" s="3"/>
    </row>
    <row customHeight="true" ht="22" r="19">
      <c r="A19" s="1"/>
      <c r="B19" s="5"/>
      <c r="C19" s="8" t="str">
        <v>算法详细设计</v>
      </c>
      <c r="D19" s="10">
        <v>43666</v>
      </c>
      <c r="E19" s="2">
        <v>43673</v>
      </c>
      <c r="F19" s="6"/>
      <c r="G19" s="9" t="str">
        <v>符总</v>
      </c>
      <c r="H19" s="3"/>
      <c r="I19" s="3"/>
      <c r="J19" s="7"/>
      <c r="K19" s="3"/>
      <c r="L19" s="4"/>
      <c r="M19" s="4"/>
      <c r="N19" s="3"/>
      <c r="O19" s="3"/>
    </row>
    <row customHeight="true" ht="22" r="20">
      <c r="A20" s="1"/>
      <c r="B20" s="5"/>
      <c r="C20" s="8" t="str">
        <v>算法研发</v>
      </c>
      <c r="D20" s="10">
        <v>43673</v>
      </c>
      <c r="E20" s="2">
        <v>43687</v>
      </c>
      <c r="F20" s="6"/>
      <c r="G20" s="9" t="str">
        <v>符总</v>
      </c>
      <c r="H20" s="3"/>
      <c r="I20" s="3"/>
      <c r="J20" s="7"/>
      <c r="K20" s="3"/>
      <c r="L20" s="4"/>
      <c r="M20" s="4"/>
      <c r="N20" s="3"/>
      <c r="O20" s="3"/>
    </row>
    <row customHeight="true" ht="22" r="21">
      <c r="A21" s="1">
        <f>$A11+1</f>
      </c>
      <c r="B21" s="5"/>
      <c r="C21" s="8" t="str">
        <v>算法测试</v>
      </c>
      <c r="D21" s="10">
        <v>43687</v>
      </c>
      <c r="E21" s="2">
        <v>43694</v>
      </c>
      <c r="F21" s="13"/>
      <c r="G21" s="9" t="str">
        <v>符总</v>
      </c>
      <c r="H21" s="11"/>
      <c r="I21" s="11"/>
      <c r="J21" s="9" t="str">
        <v>未开始</v>
      </c>
      <c r="K21" s="9"/>
      <c r="L21" s="2"/>
      <c r="M21" s="2"/>
      <c r="N21" s="11"/>
      <c r="O21" s="11"/>
    </row>
    <row customHeight="true" ht="22" r="22">
      <c r="A22" s="1">
        <f>$A21+1</f>
      </c>
      <c r="B22" s="5"/>
      <c r="C22" s="8" t="str">
        <v>云端研发</v>
      </c>
      <c r="D22" s="16">
        <v>45117</v>
      </c>
      <c r="E22" s="4">
        <v>45128</v>
      </c>
      <c r="F22" s="6"/>
      <c r="G22" s="7" t="str">
        <v>张检总</v>
      </c>
      <c r="H22" s="3"/>
      <c r="I22" s="3"/>
      <c r="J22" s="7" t="str">
        <v>未开始</v>
      </c>
      <c r="K22" s="7"/>
      <c r="L22" s="4"/>
      <c r="M22" s="4"/>
      <c r="N22" s="3"/>
      <c r="O22" s="3"/>
    </row>
    <row customHeight="true" ht="22" r="23">
      <c r="A23" s="1">
        <f>$A22+1</f>
      </c>
      <c r="B23" s="5"/>
      <c r="C23" s="8" t="str">
        <v>客户端(医生端)研发(网页版)</v>
      </c>
      <c r="D23" s="16">
        <v>45117</v>
      </c>
      <c r="E23" s="4">
        <v>45128</v>
      </c>
      <c r="F23" s="13"/>
      <c r="G23" s="9" t="str">
        <v>张检总</v>
      </c>
      <c r="H23" s="11"/>
      <c r="I23" s="11"/>
      <c r="J23" s="9" t="str">
        <v>未开始</v>
      </c>
      <c r="K23" s="11"/>
      <c r="L23" s="2"/>
      <c r="M23" s="2"/>
      <c r="N23" s="11"/>
      <c r="O23" s="11"/>
    </row>
    <row customHeight="true" ht="22" r="24">
      <c r="A24" s="1">
        <f>$A23+1</f>
      </c>
      <c r="B24" s="5"/>
      <c r="C24" s="8" t="str">
        <v>用户端开发</v>
      </c>
      <c r="D24" s="16">
        <v>45131</v>
      </c>
      <c r="E24" s="4">
        <v>45142</v>
      </c>
      <c r="F24" s="6"/>
      <c r="G24" s="7" t="str">
        <v>张检总</v>
      </c>
      <c r="H24" s="3"/>
      <c r="I24" s="3"/>
      <c r="J24" s="7" t="str">
        <v>未开始</v>
      </c>
      <c r="K24" s="3"/>
      <c r="L24" s="4"/>
      <c r="M24" s="4"/>
      <c r="N24" s="3"/>
      <c r="O24" s="3"/>
    </row>
    <row customHeight="true" ht="22" r="25">
      <c r="A25" s="1">
        <f>$A24+1</f>
      </c>
      <c r="B25" s="5"/>
      <c r="C25" s="8" t="str">
        <v>单元测试</v>
      </c>
      <c r="D25" s="16">
        <v>45131</v>
      </c>
      <c r="E25" s="4">
        <v>45142</v>
      </c>
      <c r="F25" s="13"/>
      <c r="G25" s="9" t="str">
        <v>张检总</v>
      </c>
      <c r="H25" s="11"/>
      <c r="I25" s="11"/>
      <c r="J25" s="9" t="str">
        <v>未开始</v>
      </c>
      <c r="K25" s="11"/>
      <c r="L25" s="2"/>
      <c r="M25" s="2"/>
      <c r="N25" s="11"/>
      <c r="O25" s="11"/>
    </row>
    <row customHeight="true" ht="22" r="26">
      <c r="A26" s="1">
        <f>$A25+1</f>
      </c>
      <c r="B26" s="5"/>
      <c r="C26" s="8" t="str">
        <v>集成测试</v>
      </c>
      <c r="D26" s="16"/>
      <c r="E26" s="4"/>
      <c r="F26" s="6"/>
      <c r="G26" s="7" t="str">
        <v>张检总</v>
      </c>
      <c r="H26" s="3"/>
      <c r="I26" s="3"/>
      <c r="J26" s="7" t="str">
        <v>未开始</v>
      </c>
      <c r="K26" s="3"/>
      <c r="L26" s="4"/>
      <c r="M26" s="4"/>
      <c r="N26" s="3"/>
      <c r="O26" s="3"/>
    </row>
    <row customHeight="true" ht="22" r="27">
      <c r="A27" s="1">
        <f>$A26+1</f>
      </c>
      <c r="B27" s="5"/>
      <c r="C27" s="8" t="str">
        <v>系统测试</v>
      </c>
      <c r="D27" s="10"/>
      <c r="E27" s="2"/>
      <c r="F27" s="13"/>
      <c r="G27" s="9" t="str">
        <v>张检总</v>
      </c>
      <c r="H27" s="11"/>
      <c r="I27" s="11"/>
      <c r="J27" s="9" t="str">
        <v>未开始</v>
      </c>
      <c r="K27" s="11"/>
      <c r="L27" s="2"/>
      <c r="M27" s="2"/>
      <c r="N27" s="11"/>
      <c r="O27" s="11"/>
    </row>
    <row customHeight="true" ht="22" r="28">
      <c r="A28" s="1">
        <f>$A27+1</f>
      </c>
      <c r="B28" s="5"/>
      <c r="C28" s="8" t="str">
        <v>部署上线</v>
      </c>
      <c r="D28" s="16"/>
      <c r="E28" s="4"/>
      <c r="F28" s="6"/>
      <c r="G28" s="7" t="str">
        <v>张检总</v>
      </c>
      <c r="H28" s="3"/>
      <c r="I28" s="3"/>
      <c r="J28" s="7" t="str">
        <v>未开始</v>
      </c>
      <c r="K28" s="3"/>
      <c r="L28" s="4"/>
      <c r="M28" s="4"/>
      <c r="N28" s="3"/>
      <c r="O28" s="3"/>
    </row>
    <row customHeight="true" ht="22" r="29">
      <c r="A29" s="1">
        <f>$A28+1</f>
      </c>
      <c r="B29" s="5"/>
      <c r="C29" s="8" t="str">
        <v>产品使用说明</v>
      </c>
      <c r="D29" s="10"/>
      <c r="E29" s="2"/>
      <c r="F29" s="13"/>
      <c r="G29" s="9" t="str">
        <v>张文慧</v>
      </c>
      <c r="H29" s="11"/>
      <c r="I29" s="11"/>
      <c r="J29" s="9" t="str">
        <v>未开始</v>
      </c>
      <c r="K29" s="11"/>
      <c r="L29" s="2"/>
      <c r="M29" s="2"/>
      <c r="N29" s="11"/>
      <c r="O29" s="11"/>
    </row>
    <row customHeight="true" ht="22" r="30">
      <c r="A30" s="1">
        <f>$A29+1</f>
      </c>
      <c r="B30" s="5"/>
      <c r="C30" s="8" t="str">
        <v>使用说明书</v>
      </c>
      <c r="D30" s="16"/>
      <c r="E30" s="4"/>
      <c r="F30" s="6"/>
      <c r="G30" s="7" t="str">
        <v>张文慧</v>
      </c>
      <c r="H30" s="3"/>
      <c r="I30" s="3"/>
      <c r="J30" s="7" t="str">
        <v>未开始</v>
      </c>
      <c r="K30" s="3"/>
      <c r="L30" s="4"/>
      <c r="M30" s="4"/>
      <c r="N30" s="3"/>
      <c r="O30" s="3"/>
    </row>
    <row customHeight="true" ht="22" r="31">
      <c r="A31" s="1">
        <f>$A30+1</f>
      </c>
      <c r="B31" s="14" t="str">
        <v>型检</v>
      </c>
      <c r="C31" s="8" t="str">
        <v>检验所选型</v>
      </c>
      <c r="D31" s="10"/>
      <c r="E31" s="2"/>
      <c r="F31" s="13"/>
      <c r="G31" s="9" t="str">
        <v>张文慧</v>
      </c>
      <c r="H31" s="11"/>
      <c r="I31" s="11"/>
      <c r="J31" s="9" t="str">
        <v>未开始</v>
      </c>
      <c r="K31" s="11"/>
      <c r="L31" s="2"/>
      <c r="M31" s="2"/>
      <c r="N31" s="11"/>
      <c r="O31" s="11"/>
    </row>
    <row customHeight="true" ht="22" r="32">
      <c r="A32" s="1">
        <f>$A30+1</f>
      </c>
      <c r="B32" s="5"/>
      <c r="C32" s="8" t="str">
        <v>材料准备</v>
      </c>
      <c r="D32" s="16"/>
      <c r="E32" s="4"/>
      <c r="F32" s="6"/>
      <c r="G32" s="7" t="str">
        <v>姚俨铃</v>
      </c>
      <c r="H32" s="3"/>
      <c r="I32" s="3"/>
      <c r="J32" s="7" t="str">
        <v>未开始</v>
      </c>
      <c r="K32" s="7"/>
      <c r="L32" s="4"/>
      <c r="M32" s="4"/>
      <c r="N32" s="3"/>
      <c r="O32" s="3"/>
    </row>
    <row customHeight="true" ht="22" r="33">
      <c r="A33" s="1">
        <f>$A32+1</f>
      </c>
      <c r="B33" s="5"/>
      <c r="C33" s="8" t="str">
        <v>送检</v>
      </c>
      <c r="D33" s="10"/>
      <c r="E33" s="2"/>
      <c r="F33" s="13"/>
      <c r="G33" s="9" t="str">
        <v>姚俨铃</v>
      </c>
      <c r="H33" s="11"/>
      <c r="I33" s="11"/>
      <c r="J33" s="9" t="str">
        <v>未开始</v>
      </c>
      <c r="K33" s="9"/>
      <c r="L33" s="2"/>
      <c r="M33" s="2"/>
      <c r="N33" s="11"/>
      <c r="O33" s="11"/>
    </row>
    <row customHeight="true" ht="25" r="34">
      <c r="A34" s="1">
        <f>$A33+1</f>
      </c>
      <c r="B34" s="5"/>
      <c r="C34" s="8" t="str">
        <v>下检报告跟踪</v>
      </c>
      <c r="D34" s="16"/>
      <c r="E34" s="4"/>
      <c r="F34" s="6"/>
      <c r="G34" s="7" t="str">
        <v>姚俨铃</v>
      </c>
      <c r="H34" s="7" t="str">
        <v>问题点</v>
      </c>
      <c r="I34" s="3"/>
      <c r="J34" s="7" t="str">
        <v>未开始</v>
      </c>
      <c r="K34" s="7"/>
      <c r="L34" s="17"/>
      <c r="M34" s="3"/>
      <c r="N34" s="3"/>
      <c r="O34" s="3"/>
    </row>
    <row customHeight="true" ht="25" r="35">
      <c r="A35" s="1">
        <f>$A34+1</f>
      </c>
      <c r="B35" s="14" t="str">
        <v>器械对比</v>
      </c>
      <c r="C35" s="8" t="str">
        <v>对比器械确认</v>
      </c>
      <c r="D35" s="10"/>
      <c r="E35" s="2"/>
      <c r="F35" s="13"/>
      <c r="G35" s="9" t="str">
        <v>张文慧</v>
      </c>
      <c r="H35" s="11"/>
      <c r="I35" s="11"/>
      <c r="J35" s="9" t="str">
        <v>未开始</v>
      </c>
      <c r="K35" s="9"/>
      <c r="L35" s="12"/>
      <c r="M35" s="11"/>
      <c r="N35" s="11"/>
      <c r="O35" s="11"/>
    </row>
    <row customHeight="true" ht="25" r="36">
      <c r="A36" s="1">
        <f>$A35+1</f>
      </c>
      <c r="B36" s="5"/>
      <c r="C36" s="8" t="str">
        <v>软件对比报告</v>
      </c>
      <c r="D36" s="10">
        <v>43680</v>
      </c>
      <c r="E36" s="2">
        <v>43694</v>
      </c>
      <c r="F36" s="6"/>
      <c r="G36" s="7" t="str">
        <v>符总</v>
      </c>
      <c r="H36" s="3"/>
      <c r="I36" s="3"/>
      <c r="J36" s="7" t="str">
        <v>未开始</v>
      </c>
      <c r="K36" s="7"/>
      <c r="L36" s="17"/>
      <c r="M36" s="3"/>
      <c r="N36" s="3"/>
      <c r="O36" s="3"/>
    </row>
    <row customHeight="true" ht="35" r="37">
      <c r="A37" s="1">
        <f>$A36+1</f>
      </c>
      <c r="B37" s="14" t="str">
        <v>（技术材料）填报材料</v>
      </c>
      <c r="C37" s="8" t="str">
        <v>申报产品说明书和对比产品说明书</v>
      </c>
      <c r="D37" s="10"/>
      <c r="E37" s="2"/>
      <c r="F37" s="13"/>
      <c r="G37" s="9" t="str">
        <v>责任人</v>
      </c>
      <c r="H37" s="11"/>
      <c r="I37" s="11"/>
      <c r="J37" s="9" t="str">
        <v>未开始</v>
      </c>
      <c r="K37" s="11"/>
      <c r="L37" s="12"/>
      <c r="M37" s="11"/>
      <c r="N37" s="11"/>
      <c r="O37" s="11"/>
    </row>
    <row customHeight="true" ht="25" r="38">
      <c r="A38" s="1">
        <f>$A37+1</f>
      </c>
      <c r="B38" s="5"/>
      <c r="C38" s="8" t="str">
        <v>拟申报产品技术要求</v>
      </c>
      <c r="D38" s="16"/>
      <c r="E38" s="4"/>
      <c r="F38" s="6"/>
      <c r="G38" s="7" t="str">
        <v>责任人</v>
      </c>
      <c r="H38" s="3"/>
      <c r="I38" s="3"/>
      <c r="J38" s="7" t="str">
        <v>未开始</v>
      </c>
      <c r="K38" s="3"/>
      <c r="L38" s="17"/>
      <c r="M38" s="3"/>
      <c r="N38" s="3"/>
      <c r="O38" s="3"/>
    </row>
    <row customHeight="true" ht="25" r="39">
      <c r="A39" s="1">
        <f>$A38+1</f>
      </c>
      <c r="B39" s="5"/>
      <c r="C39" s="8" t="str">
        <v>产品结构图</v>
      </c>
      <c r="D39" s="10"/>
      <c r="E39" s="2"/>
      <c r="F39" s="13"/>
      <c r="G39" s="9" t="str">
        <v>责任人</v>
      </c>
      <c r="H39" s="11"/>
      <c r="I39" s="11"/>
      <c r="J39" s="9" t="str">
        <v>未开始</v>
      </c>
      <c r="K39" s="11"/>
      <c r="L39" s="12"/>
      <c r="M39" s="11"/>
      <c r="N39" s="11"/>
      <c r="O39" s="11"/>
    </row>
    <row customHeight="true" ht="25" r="40">
      <c r="A40" s="1">
        <f>$A39+1</f>
      </c>
      <c r="B40" s="5"/>
      <c r="C40" s="8" t="str">
        <v>不同规格间差异描述</v>
      </c>
      <c r="D40" s="16"/>
      <c r="E40" s="4"/>
      <c r="F40" s="6"/>
      <c r="G40" s="7" t="str">
        <v>责任人</v>
      </c>
      <c r="H40" s="3"/>
      <c r="I40" s="3"/>
      <c r="J40" s="7" t="str">
        <v>未开始</v>
      </c>
      <c r="K40" s="3"/>
      <c r="L40" s="17"/>
      <c r="M40" s="3"/>
      <c r="N40" s="3"/>
      <c r="O40" s="3"/>
    </row>
    <row customHeight="true" ht="25" r="41">
      <c r="A41" s="1">
        <f>$A40+1</f>
      </c>
      <c r="B41" s="5"/>
      <c r="C41" s="8" t="str">
        <v>包装描述及图示、包装形式</v>
      </c>
      <c r="D41" s="10"/>
      <c r="E41" s="2"/>
      <c r="F41" s="13"/>
      <c r="G41" s="9" t="str">
        <v>责任人</v>
      </c>
      <c r="H41" s="11"/>
      <c r="I41" s="11"/>
      <c r="J41" s="9" t="str">
        <v>未开始</v>
      </c>
      <c r="K41" s="11"/>
      <c r="L41" s="12"/>
      <c r="M41" s="11"/>
      <c r="N41" s="11"/>
      <c r="O41" s="11"/>
    </row>
    <row customHeight="true" ht="25" r="42">
      <c r="A42" s="1">
        <f>$A41+1</f>
      </c>
      <c r="B42" s="5"/>
      <c r="C42" s="8" t="str">
        <v>产品检验报告</v>
      </c>
      <c r="D42" s="16"/>
      <c r="E42" s="4"/>
      <c r="F42" s="6"/>
      <c r="G42" s="7" t="str">
        <v>责任人</v>
      </c>
      <c r="H42" s="3"/>
      <c r="I42" s="3"/>
      <c r="J42" s="7" t="str">
        <v>未开始</v>
      </c>
      <c r="K42" s="3"/>
      <c r="L42" s="17"/>
      <c r="M42" s="3"/>
      <c r="N42" s="3"/>
      <c r="O42" s="3"/>
    </row>
    <row customHeight="true" ht="25" r="43">
      <c r="A43" s="1">
        <f>$A42+1</f>
      </c>
      <c r="B43" s="5"/>
      <c r="C43" s="8" t="str">
        <v>与同类产品的比较</v>
      </c>
      <c r="D43" s="10"/>
      <c r="E43" s="2"/>
      <c r="F43" s="13"/>
      <c r="G43" s="9" t="str">
        <v>责任人</v>
      </c>
      <c r="H43" s="11"/>
      <c r="I43" s="11"/>
      <c r="J43" s="9" t="str">
        <v>未开始</v>
      </c>
      <c r="K43" s="11"/>
      <c r="L43" s="12"/>
      <c r="M43" s="11"/>
      <c r="N43" s="11"/>
      <c r="O43" s="11"/>
    </row>
    <row customHeight="true" ht="35" r="44">
      <c r="A44" s="1">
        <f>$A43+1</f>
      </c>
      <c r="B44" s="5"/>
      <c r="C44" s="8" t="str">
        <v>联合使用实现预期用途的其他产品信息</v>
      </c>
      <c r="D44" s="16"/>
      <c r="E44" s="4"/>
      <c r="F44" s="6"/>
      <c r="G44" s="7" t="str">
        <v>责任人</v>
      </c>
      <c r="H44" s="3"/>
      <c r="I44" s="3"/>
      <c r="J44" s="7" t="str">
        <v>未开始</v>
      </c>
      <c r="K44" s="3"/>
      <c r="L44" s="17"/>
      <c r="M44" s="3"/>
      <c r="N44" s="3"/>
      <c r="O44" s="3"/>
    </row>
    <row customHeight="true" ht="25" r="45">
      <c r="A45" s="1">
        <f>$A44+1</f>
      </c>
      <c r="B45" s="5"/>
      <c r="C45" s="8" t="str">
        <v>软件研究报告</v>
      </c>
      <c r="D45" s="10"/>
      <c r="E45" s="2"/>
      <c r="F45" s="13"/>
      <c r="G45" s="9" t="str">
        <v>责任人</v>
      </c>
      <c r="H45" s="11"/>
      <c r="I45" s="11"/>
      <c r="J45" s="9" t="str">
        <v>未开始</v>
      </c>
      <c r="K45" s="11"/>
      <c r="L45" s="12"/>
      <c r="M45" s="11"/>
      <c r="N45" s="11"/>
      <c r="O45" s="11"/>
    </row>
    <row customHeight="true" ht="25" r="46">
      <c r="A46" s="1">
        <f>$A45+1</f>
      </c>
      <c r="B46" s="5"/>
      <c r="C46" s="8" t="str">
        <v>外部软件环境评估报告</v>
      </c>
      <c r="D46" s="16"/>
      <c r="E46" s="4"/>
      <c r="F46" s="6"/>
      <c r="G46" s="7" t="str">
        <v>责任人</v>
      </c>
      <c r="H46" s="3"/>
      <c r="I46" s="3"/>
      <c r="J46" s="7" t="str">
        <v>未开始</v>
      </c>
      <c r="K46" s="3"/>
      <c r="L46" s="17"/>
      <c r="M46" s="3"/>
      <c r="N46" s="3"/>
      <c r="O46" s="3"/>
    </row>
    <row customHeight="true" ht="25" r="47">
      <c r="A47" s="1">
        <f>$A46+1</f>
      </c>
      <c r="B47" s="5"/>
      <c r="C47" s="8" t="str">
        <v>网络安全研究报告</v>
      </c>
      <c r="D47" s="10"/>
      <c r="E47" s="2"/>
      <c r="F47" s="13"/>
      <c r="G47" s="9" t="str">
        <v>责任人</v>
      </c>
      <c r="H47" s="11"/>
      <c r="I47" s="11"/>
      <c r="J47" s="9" t="str">
        <v>未开始</v>
      </c>
      <c r="K47" s="11"/>
      <c r="L47" s="12"/>
      <c r="M47" s="11"/>
      <c r="N47" s="11"/>
      <c r="O47" s="11"/>
    </row>
    <row customHeight="true" ht="25" r="48">
      <c r="A48" s="1">
        <f>$A47+1</f>
      </c>
      <c r="B48" s="5"/>
      <c r="C48" s="8" t="str">
        <v>互操作性研究资料</v>
      </c>
      <c r="D48" s="16"/>
      <c r="E48" s="4"/>
      <c r="F48" s="6"/>
      <c r="G48" s="7" t="str">
        <v>责任人</v>
      </c>
      <c r="H48" s="3"/>
      <c r="I48" s="3"/>
      <c r="J48" s="7" t="str">
        <v>未开始</v>
      </c>
      <c r="K48" s="3"/>
      <c r="L48" s="17"/>
      <c r="M48" s="3"/>
      <c r="N48" s="3"/>
      <c r="O48" s="3"/>
    </row>
    <row customHeight="true" ht="25" r="49">
      <c r="A49" s="1">
        <f>$A48+1</f>
      </c>
      <c r="B49" s="5"/>
      <c r="C49" s="8" t="str">
        <v>生产工艺流程图</v>
      </c>
      <c r="D49" s="10"/>
      <c r="E49" s="2"/>
      <c r="F49" s="13"/>
      <c r="G49" s="9" t="str">
        <v>责任人</v>
      </c>
      <c r="H49" s="11"/>
      <c r="I49" s="11"/>
      <c r="J49" s="9" t="str">
        <v>未开始</v>
      </c>
      <c r="K49" s="11"/>
      <c r="L49" s="12"/>
      <c r="M49" s="11"/>
      <c r="N49" s="11"/>
      <c r="O49" s="11"/>
    </row>
    <row customHeight="true" ht="25" r="50">
      <c r="A50" s="1">
        <f>$A49+1</f>
      </c>
      <c r="B50" s="14" t="str">
        <v>体系材料</v>
      </c>
      <c r="C50" s="8" t="str">
        <v>质量手册</v>
      </c>
      <c r="D50" s="16"/>
      <c r="E50" s="4"/>
      <c r="F50" s="6"/>
      <c r="G50" s="7" t="str">
        <v>责任人</v>
      </c>
      <c r="H50" s="3"/>
      <c r="I50" s="3"/>
      <c r="J50" s="7" t="str">
        <v>未开始</v>
      </c>
      <c r="K50" s="3"/>
      <c r="L50" s="17"/>
      <c r="M50" s="3"/>
      <c r="N50" s="3"/>
      <c r="O50" s="3"/>
    </row>
    <row customHeight="true" ht="25" r="51">
      <c r="A51" s="1">
        <f>$A50+1</f>
      </c>
      <c r="B51" s="5"/>
      <c r="C51" s="8" t="str">
        <v>体系软件控制程序</v>
      </c>
      <c r="D51" s="10"/>
      <c r="E51" s="2"/>
      <c r="F51" s="13"/>
      <c r="G51" s="9" t="str">
        <v>责任人</v>
      </c>
      <c r="H51" s="11"/>
      <c r="I51" s="11"/>
      <c r="J51" s="9" t="str">
        <v>未开始</v>
      </c>
      <c r="K51" s="11"/>
      <c r="L51" s="12"/>
      <c r="M51" s="11"/>
      <c r="N51" s="11"/>
      <c r="O51" s="11"/>
    </row>
    <row customHeight="true" ht="25" r="52">
      <c r="A52" s="1">
        <f>$A51+1</f>
      </c>
      <c r="B52" s="5"/>
      <c r="C52" s="8" t="str">
        <v>文件控制程序</v>
      </c>
      <c r="D52" s="16"/>
      <c r="E52" s="4"/>
      <c r="F52" s="6"/>
      <c r="G52" s="7" t="str">
        <v>责任人</v>
      </c>
      <c r="H52" s="3"/>
      <c r="I52" s="3"/>
      <c r="J52" s="7" t="str">
        <v>未开始</v>
      </c>
      <c r="K52" s="3"/>
      <c r="L52" s="17"/>
      <c r="M52" s="3"/>
      <c r="N52" s="3"/>
      <c r="O52" s="3"/>
    </row>
    <row customHeight="true" ht="25" r="53">
      <c r="A53" s="1">
        <f>$A52+1</f>
      </c>
      <c r="B53" s="5"/>
      <c r="C53" s="8" t="str">
        <v>记录控制程序</v>
      </c>
      <c r="D53" s="10"/>
      <c r="E53" s="2"/>
      <c r="F53" s="13"/>
      <c r="G53" s="9" t="str">
        <v>责任人</v>
      </c>
      <c r="H53" s="11"/>
      <c r="I53" s="11"/>
      <c r="J53" s="9" t="str">
        <v>未开始</v>
      </c>
      <c r="K53" s="11"/>
      <c r="L53" s="12"/>
      <c r="M53" s="11"/>
      <c r="N53" s="11"/>
      <c r="O53" s="11"/>
    </row>
    <row customHeight="true" ht="25" r="54">
      <c r="A54" s="1">
        <f>$A53+1</f>
      </c>
      <c r="B54" s="5"/>
      <c r="C54" s="8" t="str">
        <v>职责和权限控制程序</v>
      </c>
      <c r="D54" s="16"/>
      <c r="E54" s="4"/>
      <c r="F54" s="6"/>
      <c r="G54" s="7" t="str">
        <v>责任人</v>
      </c>
      <c r="H54" s="3"/>
      <c r="I54" s="3"/>
      <c r="J54" s="7" t="str">
        <v>未开始</v>
      </c>
      <c r="K54" s="3"/>
      <c r="L54" s="17"/>
      <c r="M54" s="3"/>
      <c r="N54" s="3"/>
      <c r="O54" s="3"/>
    </row>
    <row customHeight="true" ht="25" r="55">
      <c r="A55" s="1">
        <f>$A54+1</f>
      </c>
      <c r="B55" s="5"/>
      <c r="C55" s="8" t="str">
        <v>内部沟通控制程序</v>
      </c>
      <c r="D55" s="10"/>
      <c r="E55" s="2"/>
      <c r="F55" s="13"/>
      <c r="G55" s="9" t="str">
        <v>责任人</v>
      </c>
      <c r="H55" s="11"/>
      <c r="I55" s="11"/>
      <c r="J55" s="9" t="str">
        <v>未开始</v>
      </c>
      <c r="K55" s="11"/>
      <c r="L55" s="12"/>
      <c r="M55" s="11"/>
      <c r="N55" s="11"/>
      <c r="O55" s="11"/>
    </row>
    <row customHeight="true" ht="25" r="56">
      <c r="A56" s="1">
        <f>$A55+1</f>
      </c>
      <c r="B56" s="5"/>
      <c r="C56" s="8" t="str">
        <v>管理评审控制程序</v>
      </c>
      <c r="D56" s="16"/>
      <c r="E56" s="4"/>
      <c r="F56" s="6"/>
      <c r="G56" s="7" t="str">
        <v>责任人</v>
      </c>
      <c r="H56" s="3"/>
      <c r="I56" s="3"/>
      <c r="J56" s="7" t="str">
        <v>未开始</v>
      </c>
      <c r="K56" s="3"/>
      <c r="L56" s="17"/>
      <c r="M56" s="3"/>
      <c r="N56" s="3"/>
      <c r="O56" s="3"/>
    </row>
    <row customHeight="true" ht="25" r="57">
      <c r="A57" s="1">
        <f>$A56+1</f>
      </c>
      <c r="B57" s="5"/>
      <c r="C57" s="8" t="str">
        <v>人力资源控制程序</v>
      </c>
      <c r="D57" s="10"/>
      <c r="E57" s="2"/>
      <c r="F57" s="13"/>
      <c r="G57" s="9" t="str">
        <v>责任人</v>
      </c>
      <c r="H57" s="11"/>
      <c r="I57" s="11"/>
      <c r="J57" s="9" t="str">
        <v>未开始</v>
      </c>
      <c r="K57" s="11"/>
      <c r="L57" s="12"/>
      <c r="M57" s="11"/>
      <c r="N57" s="11"/>
      <c r="O57" s="11"/>
    </row>
    <row customHeight="true" ht="25" r="58">
      <c r="A58" s="1">
        <f>$A57+1</f>
      </c>
      <c r="B58" s="5"/>
      <c r="C58" s="8" t="str">
        <v>基础设施控制程序</v>
      </c>
      <c r="D58" s="16"/>
      <c r="E58" s="4"/>
      <c r="F58" s="6"/>
      <c r="G58" s="7" t="str">
        <v>责任人</v>
      </c>
      <c r="H58" s="3"/>
      <c r="I58" s="3"/>
      <c r="J58" s="7" t="str">
        <v>未开始</v>
      </c>
      <c r="K58" s="3"/>
      <c r="L58" s="17"/>
      <c r="M58" s="3"/>
      <c r="N58" s="3"/>
      <c r="O58" s="3"/>
    </row>
    <row customHeight="true" ht="25" r="59">
      <c r="A59" s="1">
        <f>$A58+1</f>
      </c>
      <c r="B59" s="5"/>
      <c r="C59" s="8" t="str">
        <v>工作环境和污染控制程序</v>
      </c>
      <c r="D59" s="10"/>
      <c r="E59" s="2"/>
      <c r="F59" s="13"/>
      <c r="G59" s="9" t="str">
        <v>责任人</v>
      </c>
      <c r="H59" s="11"/>
      <c r="I59" s="11"/>
      <c r="J59" s="9" t="str">
        <v>未开始</v>
      </c>
      <c r="K59" s="11"/>
      <c r="L59" s="12"/>
      <c r="M59" s="11"/>
      <c r="N59" s="11"/>
      <c r="O59" s="11"/>
    </row>
    <row customHeight="true" ht="25" r="60">
      <c r="A60" s="1">
        <f>$A59+1</f>
      </c>
      <c r="B60" s="5"/>
      <c r="C60" s="8" t="str">
        <v>风险管理控制程序</v>
      </c>
      <c r="D60" s="16"/>
      <c r="E60" s="4"/>
      <c r="F60" s="6"/>
      <c r="G60" s="7" t="str">
        <v>责任人</v>
      </c>
      <c r="H60" s="3"/>
      <c r="I60" s="3"/>
      <c r="J60" s="7" t="str">
        <v>未开始</v>
      </c>
      <c r="K60" s="3"/>
      <c r="L60" s="17"/>
      <c r="M60" s="3"/>
      <c r="N60" s="3"/>
      <c r="O60" s="3"/>
    </row>
    <row customHeight="true" ht="25" r="61">
      <c r="A61" s="1">
        <f>$A60+1</f>
      </c>
      <c r="B61" s="5"/>
      <c r="C61" s="8" t="str">
        <v>与顾客有关的过程控制程序</v>
      </c>
      <c r="D61" s="10"/>
      <c r="E61" s="2"/>
      <c r="F61" s="13"/>
      <c r="G61" s="9" t="str">
        <v>责任人</v>
      </c>
      <c r="H61" s="11"/>
      <c r="I61" s="11"/>
      <c r="J61" s="9" t="str">
        <v>未开始</v>
      </c>
      <c r="K61" s="11"/>
      <c r="L61" s="12"/>
      <c r="M61" s="11"/>
      <c r="N61" s="11"/>
      <c r="O61" s="11"/>
    </row>
    <row customHeight="true" ht="25" r="62">
      <c r="A62" s="1">
        <f>$A61+1</f>
      </c>
      <c r="B62" s="5"/>
      <c r="C62" s="8" t="str">
        <v>设计和开发控制程序</v>
      </c>
      <c r="D62" s="16"/>
      <c r="E62" s="4"/>
      <c r="F62" s="6"/>
      <c r="G62" s="7" t="str">
        <v>责任人</v>
      </c>
      <c r="H62" s="3"/>
      <c r="I62" s="3"/>
      <c r="J62" s="7" t="str">
        <v>未开始</v>
      </c>
      <c r="K62" s="3"/>
      <c r="L62" s="17"/>
      <c r="M62" s="3"/>
      <c r="N62" s="3"/>
      <c r="O62" s="3"/>
    </row>
    <row customHeight="true" ht="25" r="63">
      <c r="A63" s="1">
        <f>$A62+1</f>
      </c>
      <c r="B63" s="5"/>
      <c r="C63" s="8" t="str">
        <v>采购控制程序</v>
      </c>
      <c r="D63" s="10"/>
      <c r="E63" s="2"/>
      <c r="F63" s="13"/>
      <c r="G63" s="9" t="str">
        <v>责任人</v>
      </c>
      <c r="H63" s="11"/>
      <c r="I63" s="11"/>
      <c r="J63" s="9" t="str">
        <v>未开始</v>
      </c>
      <c r="K63" s="11"/>
      <c r="L63" s="12"/>
      <c r="M63" s="11"/>
      <c r="N63" s="11"/>
      <c r="O63" s="11"/>
    </row>
    <row customHeight="true" ht="25" r="64">
      <c r="A64" s="1">
        <f>$A63+1</f>
      </c>
      <c r="B64" s="5"/>
      <c r="C64" s="8" t="str">
        <v>生产和服务提供控制程序</v>
      </c>
      <c r="D64" s="16"/>
      <c r="E64" s="4"/>
      <c r="F64" s="6"/>
      <c r="G64" s="7" t="str">
        <v>责任人</v>
      </c>
      <c r="H64" s="3"/>
      <c r="I64" s="3"/>
      <c r="J64" s="7" t="str">
        <v>未开始</v>
      </c>
      <c r="K64" s="3"/>
      <c r="L64" s="17"/>
      <c r="M64" s="3"/>
      <c r="N64" s="3"/>
      <c r="O64" s="3"/>
    </row>
    <row customHeight="true" ht="25" r="65">
      <c r="A65" s="1">
        <f>$A64+1</f>
      </c>
      <c r="B65" s="5"/>
      <c r="C65" s="8" t="str">
        <v>服务活动控制程序</v>
      </c>
      <c r="D65" s="10"/>
      <c r="E65" s="2"/>
      <c r="F65" s="13"/>
      <c r="G65" s="9" t="str">
        <v>责任人</v>
      </c>
      <c r="H65" s="11"/>
      <c r="I65" s="11"/>
      <c r="J65" s="9" t="str">
        <v>未开始</v>
      </c>
      <c r="K65" s="11"/>
      <c r="L65" s="12"/>
      <c r="M65" s="11"/>
      <c r="N65" s="11"/>
      <c r="O65" s="11"/>
    </row>
    <row customHeight="true" ht="35" r="66">
      <c r="A66" s="1">
        <f>$A65+1</f>
      </c>
      <c r="B66" s="5"/>
      <c r="C66" s="8" t="str">
        <v>生产和服务提供过程确认控制程序</v>
      </c>
      <c r="D66" s="16"/>
      <c r="E66" s="4"/>
      <c r="F66" s="6"/>
      <c r="G66" s="7" t="str">
        <v>责任人</v>
      </c>
      <c r="H66" s="3"/>
      <c r="I66" s="3"/>
      <c r="J66" s="7" t="str">
        <v>未开始</v>
      </c>
      <c r="K66" s="3"/>
      <c r="L66" s="17"/>
      <c r="M66" s="3"/>
      <c r="N66" s="3"/>
      <c r="O66" s="3"/>
    </row>
    <row customHeight="true" ht="25" r="67">
      <c r="A67" s="1">
        <f>$A66+1</f>
      </c>
      <c r="B67" s="5"/>
      <c r="C67" s="8" t="str">
        <v>标识和可追溯性控制程序</v>
      </c>
      <c r="D67" s="10"/>
      <c r="E67" s="2"/>
      <c r="F67" s="13"/>
      <c r="G67" s="9" t="str">
        <v>责任人</v>
      </c>
      <c r="H67" s="11"/>
      <c r="I67" s="11"/>
      <c r="J67" s="9" t="str">
        <v>未开始</v>
      </c>
      <c r="K67" s="11"/>
      <c r="L67" s="12"/>
      <c r="M67" s="11"/>
      <c r="N67" s="11"/>
      <c r="O67" s="11"/>
    </row>
    <row customHeight="true" ht="25" r="68">
      <c r="A68" s="1">
        <f>$A67+1</f>
      </c>
      <c r="B68" s="5"/>
      <c r="C68" s="8" t="str">
        <v>产品防护控制程序</v>
      </c>
      <c r="D68" s="16"/>
      <c r="E68" s="4"/>
      <c r="F68" s="6"/>
      <c r="G68" s="7" t="str">
        <v>责任人</v>
      </c>
      <c r="H68" s="3"/>
      <c r="I68" s="3"/>
      <c r="J68" s="7" t="str">
        <v>未开始</v>
      </c>
      <c r="K68" s="3"/>
      <c r="L68" s="17"/>
      <c r="M68" s="3"/>
      <c r="N68" s="3"/>
      <c r="O68" s="3"/>
    </row>
    <row customHeight="true" ht="25" r="69">
      <c r="A69" s="1">
        <f>$A68+1</f>
      </c>
      <c r="B69" s="5"/>
      <c r="C69" s="8" t="str">
        <v>监视和测量设备控制程序</v>
      </c>
      <c r="D69" s="10"/>
      <c r="E69" s="2"/>
      <c r="F69" s="13"/>
      <c r="G69" s="9" t="str">
        <v>责任人</v>
      </c>
      <c r="H69" s="11"/>
      <c r="I69" s="11"/>
      <c r="J69" s="9" t="str">
        <v>未开始</v>
      </c>
      <c r="K69" s="11"/>
      <c r="L69" s="12"/>
      <c r="M69" s="11"/>
      <c r="N69" s="11"/>
      <c r="O69" s="11"/>
    </row>
    <row customHeight="true" ht="25" r="70">
      <c r="A70" s="1">
        <f>$A69+1</f>
      </c>
      <c r="B70" s="5"/>
      <c r="C70" s="8" t="str">
        <v>反馈系统控制程序</v>
      </c>
      <c r="D70" s="16"/>
      <c r="E70" s="4"/>
      <c r="F70" s="6"/>
      <c r="G70" s="7" t="str">
        <v>责任人</v>
      </c>
      <c r="H70" s="3"/>
      <c r="I70" s="3"/>
      <c r="J70" s="7" t="str">
        <v>未开始</v>
      </c>
      <c r="K70" s="3"/>
      <c r="L70" s="17"/>
      <c r="M70" s="3"/>
      <c r="N70" s="3"/>
      <c r="O70" s="3"/>
    </row>
    <row customHeight="true" ht="25" r="71">
      <c r="A71" s="1">
        <f>$A70+1</f>
      </c>
      <c r="B71" s="5"/>
      <c r="C71" s="8" t="str">
        <v>投诉处置控制程序</v>
      </c>
      <c r="D71" s="10"/>
      <c r="E71" s="2"/>
      <c r="F71" s="13"/>
      <c r="G71" s="9" t="str">
        <v>责任人</v>
      </c>
      <c r="H71" s="11"/>
      <c r="I71" s="11"/>
      <c r="J71" s="9" t="str">
        <v>未开始</v>
      </c>
      <c r="K71" s="11"/>
      <c r="L71" s="12"/>
      <c r="M71" s="11"/>
      <c r="N71" s="11"/>
      <c r="O71" s="11"/>
    </row>
    <row customHeight="true" ht="25" r="72">
      <c r="A72" s="1">
        <f>$A71+1</f>
      </c>
      <c r="B72" s="5"/>
      <c r="C72" s="8" t="str">
        <v>内部审核控制程序</v>
      </c>
      <c r="D72" s="16"/>
      <c r="E72" s="4"/>
      <c r="F72" s="6"/>
      <c r="G72" s="7" t="str">
        <v>责任人</v>
      </c>
      <c r="H72" s="3"/>
      <c r="I72" s="3"/>
      <c r="J72" s="7" t="str">
        <v>未开始</v>
      </c>
      <c r="K72" s="3"/>
      <c r="L72" s="17"/>
      <c r="M72" s="3"/>
      <c r="N72" s="3"/>
      <c r="O72" s="3"/>
    </row>
    <row customHeight="true" ht="25" r="73">
      <c r="A73" s="1">
        <f>$A72+1</f>
      </c>
      <c r="B73" s="5"/>
      <c r="C73" s="8" t="str">
        <v>产品监视和测量控制程序</v>
      </c>
      <c r="D73" s="10"/>
      <c r="E73" s="2"/>
      <c r="F73" s="13"/>
      <c r="G73" s="9" t="str">
        <v>责任人</v>
      </c>
      <c r="H73" s="11"/>
      <c r="I73" s="11"/>
      <c r="J73" s="9" t="str">
        <v>未开始</v>
      </c>
      <c r="K73" s="11"/>
      <c r="L73" s="12"/>
      <c r="M73" s="11"/>
      <c r="N73" s="11"/>
      <c r="O73" s="11"/>
    </row>
    <row customHeight="true" ht="25" r="74">
      <c r="A74" s="1">
        <f>$A73+1</f>
      </c>
      <c r="B74" s="5"/>
      <c r="C74" s="8" t="str">
        <v>不合格品控制程序</v>
      </c>
      <c r="D74" s="16"/>
      <c r="E74" s="4"/>
      <c r="F74" s="6"/>
      <c r="G74" s="7" t="str">
        <v>责任人</v>
      </c>
      <c r="H74" s="3"/>
      <c r="I74" s="3"/>
      <c r="J74" s="7" t="str">
        <v>未开始</v>
      </c>
      <c r="K74" s="3"/>
      <c r="L74" s="17"/>
      <c r="M74" s="3"/>
      <c r="N74" s="3"/>
      <c r="O74" s="3"/>
    </row>
    <row customHeight="true" ht="25" r="75">
      <c r="A75" s="1">
        <f>$A74+1</f>
      </c>
      <c r="B75" s="5"/>
      <c r="C75" s="8" t="str">
        <v>数据分析控制程序</v>
      </c>
      <c r="D75" s="10"/>
      <c r="E75" s="2"/>
      <c r="F75" s="13"/>
      <c r="G75" s="9" t="str">
        <v>责任人</v>
      </c>
      <c r="H75" s="11"/>
      <c r="I75" s="11"/>
      <c r="J75" s="9" t="str">
        <v>未开始</v>
      </c>
      <c r="K75" s="11"/>
      <c r="L75" s="12"/>
      <c r="M75" s="11"/>
      <c r="N75" s="11"/>
      <c r="O75" s="11"/>
    </row>
    <row customHeight="true" ht="25" r="76">
      <c r="A76" s="1">
        <f>$A75+1</f>
      </c>
      <c r="B76" s="5"/>
      <c r="C76" s="8" t="str">
        <v>纠正和预防措施控制程序</v>
      </c>
      <c r="D76" s="16"/>
      <c r="E76" s="4"/>
      <c r="F76" s="6"/>
      <c r="G76" s="7" t="str">
        <v>责任人</v>
      </c>
      <c r="H76" s="3"/>
      <c r="I76" s="3"/>
      <c r="J76" s="7" t="str">
        <v>未开始</v>
      </c>
      <c r="K76" s="3"/>
      <c r="L76" s="17"/>
      <c r="M76" s="3"/>
      <c r="N76" s="3"/>
      <c r="O76" s="3"/>
    </row>
    <row customHeight="true" ht="25" r="77">
      <c r="A77" s="1">
        <f>$A76+1</f>
      </c>
      <c r="B77" s="5"/>
      <c r="C77" s="8" t="str">
        <v>质量控制程序</v>
      </c>
      <c r="D77" s="10"/>
      <c r="E77" s="2"/>
      <c r="F77" s="13"/>
      <c r="G77" s="9" t="str">
        <v>责任人</v>
      </c>
      <c r="H77" s="11"/>
      <c r="I77" s="11"/>
      <c r="J77" s="9" t="str">
        <v>未开始</v>
      </c>
      <c r="K77" s="11"/>
      <c r="L77" s="12"/>
      <c r="M77" s="11"/>
      <c r="N77" s="11"/>
      <c r="O77" s="11"/>
    </row>
    <row customHeight="true" ht="25" r="78">
      <c r="A78" s="1">
        <f>$A77+1</f>
      </c>
      <c r="B78" s="5"/>
      <c r="C78" s="8" t="str">
        <v>向监管机构报告控制程序</v>
      </c>
      <c r="D78" s="16"/>
      <c r="E78" s="4"/>
      <c r="F78" s="6"/>
      <c r="G78" s="7" t="str">
        <v>责任人</v>
      </c>
      <c r="H78" s="3"/>
      <c r="I78" s="3"/>
      <c r="J78" s="7" t="str">
        <v>未开始</v>
      </c>
      <c r="K78" s="3"/>
      <c r="L78" s="17"/>
      <c r="M78" s="3"/>
      <c r="N78" s="3"/>
      <c r="O78" s="3"/>
    </row>
    <row customHeight="true" ht="25" r="79">
      <c r="A79" s="1">
        <f>$A78+1</f>
      </c>
      <c r="B79" s="5"/>
      <c r="C79" s="8" t="str">
        <v>忠告性通知发布和实施控制程序</v>
      </c>
      <c r="D79" s="10"/>
      <c r="E79" s="2"/>
      <c r="F79" s="13"/>
      <c r="G79" s="9" t="str">
        <v>责任人</v>
      </c>
      <c r="H79" s="11"/>
      <c r="I79" s="11"/>
      <c r="J79" s="9" t="str">
        <v>未开始</v>
      </c>
      <c r="K79" s="11"/>
      <c r="L79" s="12"/>
      <c r="M79" s="11"/>
      <c r="N79" s="11"/>
      <c r="O79" s="11"/>
    </row>
    <row customHeight="true" ht="25" r="80">
      <c r="A80" s="1">
        <f>$A79+1</f>
      </c>
      <c r="B80" s="5"/>
      <c r="C80" s="8" t="str">
        <v>企业基本信息</v>
      </c>
      <c r="D80" s="16"/>
      <c r="E80" s="4"/>
      <c r="F80" s="6"/>
      <c r="G80" s="7" t="str">
        <v>责任人</v>
      </c>
      <c r="H80" s="3"/>
      <c r="I80" s="3"/>
      <c r="J80" s="7" t="str">
        <v>未开始</v>
      </c>
      <c r="K80" s="3"/>
      <c r="L80" s="17"/>
      <c r="M80" s="3"/>
      <c r="N80" s="3"/>
      <c r="O80" s="3"/>
    </row>
    <row customHeight="true" ht="25" r="81">
      <c r="A81" s="1">
        <f>$A80+1</f>
      </c>
      <c r="B81" s="5"/>
      <c r="C81" s="8" t="str">
        <v>平面布局图</v>
      </c>
      <c r="D81" s="10"/>
      <c r="E81" s="2"/>
      <c r="F81" s="13"/>
      <c r="G81" s="9" t="str">
        <v>责任人</v>
      </c>
      <c r="H81" s="11"/>
      <c r="I81" s="11"/>
      <c r="J81" s="9" t="str">
        <v>未开始</v>
      </c>
      <c r="K81" s="11"/>
      <c r="L81" s="12"/>
      <c r="M81" s="11"/>
      <c r="N81" s="11"/>
      <c r="O81" s="11"/>
    </row>
    <row customHeight="true" ht="25" r="82">
      <c r="A82" s="1">
        <f>$A81+1</f>
      </c>
      <c r="B82" s="14" t="str">
        <v>提交药监材料</v>
      </c>
      <c r="C82" s="15" t="str">
        <v>1.监管信息</v>
      </c>
      <c r="D82" s="16"/>
      <c r="E82" s="4"/>
      <c r="F82" s="6"/>
      <c r="G82" s="7" t="str">
        <v>姚俨铃</v>
      </c>
      <c r="H82" s="3"/>
      <c r="I82" s="3"/>
      <c r="J82" s="7" t="str">
        <v>未开始</v>
      </c>
      <c r="K82" s="3"/>
      <c r="L82" s="17"/>
      <c r="M82" s="3"/>
      <c r="N82" s="3"/>
      <c r="O82" s="3"/>
    </row>
    <row customHeight="true" ht="25" r="83">
      <c r="A83" s="1">
        <f>$A82+1</f>
      </c>
      <c r="B83" s="5"/>
      <c r="C83" s="8" t="str">
        <v>1.1章节目录</v>
      </c>
      <c r="D83" s="10"/>
      <c r="E83" s="2"/>
      <c r="F83" s="13"/>
      <c r="G83" s="9" t="str">
        <v>姚俨铃</v>
      </c>
      <c r="H83" s="11"/>
      <c r="I83" s="11"/>
      <c r="J83" s="9" t="str">
        <v>未开始</v>
      </c>
      <c r="K83" s="11"/>
      <c r="L83" s="12"/>
      <c r="M83" s="11"/>
      <c r="N83" s="11"/>
      <c r="O83" s="11"/>
    </row>
    <row customHeight="true" ht="25" r="84">
      <c r="A84" s="1">
        <f>$A83+1</f>
      </c>
      <c r="B84" s="5"/>
      <c r="C84" s="8" t="str">
        <v>1.2申请表</v>
      </c>
      <c r="D84" s="16"/>
      <c r="E84" s="4"/>
      <c r="F84" s="6"/>
      <c r="G84" s="7" t="str">
        <v>姚俨铃</v>
      </c>
      <c r="H84" s="3"/>
      <c r="I84" s="3"/>
      <c r="J84" s="7" t="str">
        <v>未开始</v>
      </c>
      <c r="K84" s="3"/>
      <c r="L84" s="17"/>
      <c r="M84" s="3"/>
      <c r="N84" s="3"/>
      <c r="O84" s="3"/>
    </row>
    <row customHeight="true" ht="25" r="85">
      <c r="A85" s="1">
        <f>$A84+1</f>
      </c>
      <c r="B85" s="5"/>
      <c r="C85" s="8" t="str">
        <v>1.3术语、缩写词列表</v>
      </c>
      <c r="D85" s="10"/>
      <c r="E85" s="2"/>
      <c r="F85" s="13"/>
      <c r="G85" s="9" t="str">
        <v>姚俨铃</v>
      </c>
      <c r="H85" s="11"/>
      <c r="I85" s="11"/>
      <c r="J85" s="9" t="str">
        <v>未开始</v>
      </c>
      <c r="K85" s="11"/>
      <c r="L85" s="12"/>
      <c r="M85" s="11"/>
      <c r="N85" s="11"/>
      <c r="O85" s="11"/>
    </row>
    <row customHeight="true" ht="25" r="86">
      <c r="A86" s="1">
        <f>$A85+1</f>
      </c>
      <c r="B86" s="5"/>
      <c r="C86" s="8" t="str">
        <v>1.4产品列表</v>
      </c>
      <c r="D86" s="16"/>
      <c r="E86" s="4"/>
      <c r="F86" s="6"/>
      <c r="G86" s="7" t="str">
        <v>姚俨铃</v>
      </c>
      <c r="H86" s="3"/>
      <c r="I86" s="3"/>
      <c r="J86" s="7" t="str">
        <v>未开始</v>
      </c>
      <c r="K86" s="3"/>
      <c r="L86" s="17"/>
      <c r="M86" s="3"/>
      <c r="N86" s="3"/>
      <c r="O86" s="3"/>
    </row>
    <row customHeight="true" ht="25" r="87">
      <c r="A87" s="1">
        <f>$A86+1</f>
      </c>
      <c r="B87" s="5"/>
      <c r="C87" s="8" t="str">
        <v>1.5关联文件</v>
      </c>
      <c r="D87" s="10"/>
      <c r="E87" s="2"/>
      <c r="F87" s="13"/>
      <c r="G87" s="9" t="str">
        <v>姚俨铃</v>
      </c>
      <c r="H87" s="11"/>
      <c r="I87" s="11"/>
      <c r="J87" s="9" t="str">
        <v>未开始</v>
      </c>
      <c r="K87" s="11"/>
      <c r="L87" s="12"/>
      <c r="M87" s="11"/>
      <c r="N87" s="11"/>
      <c r="O87" s="11"/>
    </row>
    <row customHeight="true" ht="35" r="88">
      <c r="A88" s="1">
        <f>$A87+1</f>
      </c>
      <c r="B88" s="5"/>
      <c r="C88" s="8" t="str">
        <v>1.6申报前与监管机构的联系情况和沟通记录</v>
      </c>
      <c r="D88" s="16"/>
      <c r="E88" s="4"/>
      <c r="F88" s="6"/>
      <c r="G88" s="7" t="str">
        <v>姚俨铃</v>
      </c>
      <c r="H88" s="3"/>
      <c r="I88" s="3"/>
      <c r="J88" s="7" t="str">
        <v>未开始</v>
      </c>
      <c r="K88" s="3"/>
      <c r="L88" s="17"/>
      <c r="M88" s="3"/>
      <c r="N88" s="3"/>
      <c r="O88" s="3"/>
    </row>
    <row customHeight="true" ht="25" r="89">
      <c r="A89" s="1">
        <f>$A88+1</f>
      </c>
      <c r="B89" s="5"/>
      <c r="C89" s="8" t="str">
        <v>1.7符合性声明</v>
      </c>
      <c r="D89" s="10"/>
      <c r="E89" s="2"/>
      <c r="F89" s="13"/>
      <c r="G89" s="9" t="str">
        <v>姚俨铃</v>
      </c>
      <c r="H89" s="11"/>
      <c r="I89" s="11"/>
      <c r="J89" s="9" t="str">
        <v>未开始</v>
      </c>
      <c r="K89" s="11"/>
      <c r="L89" s="12"/>
      <c r="M89" s="11"/>
      <c r="N89" s="11"/>
      <c r="O89" s="11"/>
    </row>
    <row customHeight="true" ht="25" r="90">
      <c r="A90" s="1">
        <f>$A89+1</f>
      </c>
      <c r="B90" s="5"/>
      <c r="C90" s="15" t="str">
        <v>2.综述资料</v>
      </c>
      <c r="D90" s="16"/>
      <c r="E90" s="4"/>
      <c r="F90" s="6"/>
      <c r="G90" s="7" t="str">
        <v>姚俨铃</v>
      </c>
      <c r="H90" s="3"/>
      <c r="I90" s="3"/>
      <c r="J90" s="7" t="str">
        <v>未开始</v>
      </c>
      <c r="K90" s="3"/>
      <c r="L90" s="17"/>
      <c r="M90" s="3"/>
      <c r="N90" s="3"/>
      <c r="O90" s="3"/>
    </row>
    <row customHeight="true" ht="25" r="91">
      <c r="A91" s="1">
        <f>$A90+1</f>
      </c>
      <c r="B91" s="5"/>
      <c r="C91" s="8" t="str">
        <v>2.1章节目录</v>
      </c>
      <c r="D91" s="10"/>
      <c r="E91" s="2"/>
      <c r="F91" s="13"/>
      <c r="G91" s="9" t="str">
        <v>姚俨铃</v>
      </c>
      <c r="H91" s="11"/>
      <c r="I91" s="11"/>
      <c r="J91" s="9" t="str">
        <v>未开始</v>
      </c>
      <c r="K91" s="11"/>
      <c r="L91" s="12"/>
      <c r="M91" s="11"/>
      <c r="N91" s="11"/>
      <c r="O91" s="11"/>
    </row>
    <row customHeight="true" ht="25" r="92">
      <c r="A92" s="1">
        <f>$A91+1</f>
      </c>
      <c r="B92" s="5"/>
      <c r="C92" s="8" t="str">
        <v>2.2概述</v>
      </c>
      <c r="D92" s="16"/>
      <c r="E92" s="4"/>
      <c r="F92" s="6"/>
      <c r="G92" s="7" t="str">
        <v>姚俨铃</v>
      </c>
      <c r="H92" s="3"/>
      <c r="I92" s="3"/>
      <c r="J92" s="7" t="str">
        <v>未开始</v>
      </c>
      <c r="K92" s="3"/>
      <c r="L92" s="17"/>
      <c r="M92" s="3"/>
      <c r="N92" s="3"/>
      <c r="O92" s="3"/>
    </row>
    <row customHeight="true" ht="25" r="93">
      <c r="A93" s="1">
        <f>$A92+1</f>
      </c>
      <c r="B93" s="5"/>
      <c r="C93" s="8" t="str">
        <v>2.3产品描述</v>
      </c>
      <c r="D93" s="10"/>
      <c r="E93" s="2"/>
      <c r="F93" s="13"/>
      <c r="G93" s="9" t="str">
        <v>姚俨铃</v>
      </c>
      <c r="H93" s="11"/>
      <c r="I93" s="11"/>
      <c r="J93" s="9" t="str">
        <v>未开始</v>
      </c>
      <c r="K93" s="11"/>
      <c r="L93" s="12"/>
      <c r="M93" s="11"/>
      <c r="N93" s="11"/>
      <c r="O93" s="11"/>
    </row>
    <row customHeight="true" ht="25" r="94">
      <c r="A94" s="1">
        <f>$A93+1</f>
      </c>
      <c r="B94" s="5"/>
      <c r="C94" s="8" t="str">
        <v>2.4适用范围和禁忌证</v>
      </c>
      <c r="D94" s="16"/>
      <c r="E94" s="4"/>
      <c r="F94" s="6"/>
      <c r="G94" s="7" t="str">
        <v>姚俨铃</v>
      </c>
      <c r="H94" s="3"/>
      <c r="I94" s="3"/>
      <c r="J94" s="7" t="str">
        <v>未开始</v>
      </c>
      <c r="K94" s="3"/>
      <c r="L94" s="17"/>
      <c r="M94" s="3"/>
      <c r="N94" s="3"/>
      <c r="O94" s="3"/>
    </row>
    <row customHeight="true" ht="25" r="95">
      <c r="A95" s="1">
        <f>$A94+1</f>
      </c>
      <c r="B95" s="5"/>
      <c r="C95" s="8" t="str">
        <v>2.5申报产品上市历史</v>
      </c>
      <c r="D95" s="10"/>
      <c r="E95" s="2"/>
      <c r="F95" s="13"/>
      <c r="G95" s="9" t="str">
        <v>姚俨铃</v>
      </c>
      <c r="H95" s="11"/>
      <c r="I95" s="11"/>
      <c r="J95" s="9" t="str">
        <v>未开始</v>
      </c>
      <c r="K95" s="11"/>
      <c r="L95" s="12"/>
      <c r="M95" s="11"/>
      <c r="N95" s="11"/>
      <c r="O95" s="11"/>
    </row>
    <row customHeight="true" ht="25" r="96">
      <c r="A96" s="1">
        <f>$A95+1</f>
      </c>
      <c r="B96" s="5"/>
      <c r="C96" s="8" t="str">
        <v>2.6其他需说明的内容</v>
      </c>
      <c r="D96" s="16"/>
      <c r="E96" s="4"/>
      <c r="F96" s="6"/>
      <c r="G96" s="7" t="str">
        <v>姚俨铃</v>
      </c>
      <c r="H96" s="3"/>
      <c r="I96" s="3"/>
      <c r="J96" s="7" t="str">
        <v>未开始</v>
      </c>
      <c r="K96" s="3"/>
      <c r="L96" s="17"/>
      <c r="M96" s="3"/>
      <c r="N96" s="3"/>
      <c r="O96" s="3"/>
    </row>
    <row customHeight="true" ht="25" r="97">
      <c r="A97" s="1">
        <f>$A96+1</f>
      </c>
      <c r="B97" s="5"/>
      <c r="C97" s="15" t="str">
        <v>3.非临床资料</v>
      </c>
      <c r="D97" s="10"/>
      <c r="E97" s="2"/>
      <c r="F97" s="13"/>
      <c r="G97" s="9" t="str">
        <v>姚俨铃</v>
      </c>
      <c r="H97" s="11"/>
      <c r="I97" s="11"/>
      <c r="J97" s="9" t="str">
        <v>未开始</v>
      </c>
      <c r="K97" s="11"/>
      <c r="L97" s="12"/>
      <c r="M97" s="11"/>
      <c r="N97" s="11"/>
      <c r="O97" s="11"/>
    </row>
    <row customHeight="true" ht="25" r="98">
      <c r="A98" s="1">
        <f>$A97+1</f>
      </c>
      <c r="B98" s="5"/>
      <c r="C98" s="8" t="str">
        <v>3.1章节目录</v>
      </c>
      <c r="D98" s="16"/>
      <c r="E98" s="4"/>
      <c r="F98" s="6"/>
      <c r="G98" s="7" t="str">
        <v>姚俨铃</v>
      </c>
      <c r="H98" s="3"/>
      <c r="I98" s="3"/>
      <c r="J98" s="7" t="str">
        <v>未开始</v>
      </c>
      <c r="K98" s="3"/>
      <c r="L98" s="17"/>
      <c r="M98" s="3"/>
      <c r="N98" s="3"/>
      <c r="O98" s="3"/>
    </row>
    <row customHeight="true" ht="25" r="99">
      <c r="A99" s="1">
        <f>$A98+1</f>
      </c>
      <c r="B99" s="5"/>
      <c r="C99" s="8" t="str">
        <v>3.2产品风险管理资料</v>
      </c>
      <c r="D99" s="10"/>
      <c r="E99" s="2"/>
      <c r="F99" s="13"/>
      <c r="G99" s="9" t="str">
        <v>姚俨铃</v>
      </c>
      <c r="H99" s="11"/>
      <c r="I99" s="11"/>
      <c r="J99" s="9" t="str">
        <v>未开始</v>
      </c>
      <c r="K99" s="11"/>
      <c r="L99" s="12"/>
      <c r="M99" s="11"/>
      <c r="N99" s="11"/>
      <c r="O99" s="11"/>
    </row>
    <row customHeight="true" ht="35" r="100">
      <c r="A100" s="1">
        <f>$A99+1</f>
      </c>
      <c r="B100" s="5"/>
      <c r="C100" s="8" t="str">
        <v>3.3医疗器械安全和性能基本原则清单</v>
      </c>
      <c r="D100" s="16"/>
      <c r="E100" s="4"/>
      <c r="F100" s="6"/>
      <c r="G100" s="7" t="str">
        <v>姚俨铃</v>
      </c>
      <c r="H100" s="3"/>
      <c r="I100" s="3"/>
      <c r="J100" s="7" t="str">
        <v>未开始</v>
      </c>
      <c r="K100" s="3"/>
      <c r="L100" s="17"/>
      <c r="M100" s="3"/>
      <c r="N100" s="3"/>
      <c r="O100" s="3"/>
    </row>
    <row customHeight="true" ht="25" r="101">
      <c r="A101" s="1">
        <f>$A100+1</f>
      </c>
      <c r="B101" s="5"/>
      <c r="C101" s="8" t="str">
        <v>3.4产品技术要求及检验报告</v>
      </c>
      <c r="D101" s="10"/>
      <c r="E101" s="2"/>
      <c r="F101" s="13"/>
      <c r="G101" s="9" t="str">
        <v>姚俨铃</v>
      </c>
      <c r="H101" s="11"/>
      <c r="I101" s="11"/>
      <c r="J101" s="9" t="str">
        <v>未开始</v>
      </c>
      <c r="K101" s="11"/>
      <c r="L101" s="12"/>
      <c r="M101" s="11"/>
      <c r="N101" s="11"/>
      <c r="O101" s="11"/>
    </row>
    <row customHeight="true" ht="25" r="102">
      <c r="A102" s="1">
        <f>$A101+1</f>
      </c>
      <c r="B102" s="5"/>
      <c r="C102" s="8" t="str">
        <v>3.5研究资料</v>
      </c>
      <c r="D102" s="16"/>
      <c r="E102" s="4"/>
      <c r="F102" s="6"/>
      <c r="G102" s="7" t="str">
        <v>姚俨铃</v>
      </c>
      <c r="H102" s="3"/>
      <c r="I102" s="3"/>
      <c r="J102" s="7" t="str">
        <v>未开始</v>
      </c>
      <c r="K102" s="3"/>
      <c r="L102" s="17"/>
      <c r="M102" s="3"/>
      <c r="N102" s="3"/>
      <c r="O102" s="3"/>
    </row>
    <row customHeight="true" ht="25" r="103">
      <c r="A103" s="1">
        <f>$A102+1</f>
      </c>
      <c r="B103" s="5"/>
      <c r="C103" s="8" t="str">
        <v>3.5.1 化学和物理性能研究</v>
      </c>
      <c r="D103" s="10"/>
      <c r="E103" s="2"/>
      <c r="F103" s="13"/>
      <c r="G103" s="9" t="str">
        <v>姚俨铃</v>
      </c>
      <c r="H103" s="11"/>
      <c r="I103" s="11"/>
      <c r="J103" s="9" t="str">
        <v>未开始</v>
      </c>
      <c r="K103" s="11"/>
      <c r="L103" s="12"/>
      <c r="M103" s="11"/>
      <c r="N103" s="11"/>
      <c r="O103" s="11"/>
    </row>
    <row customHeight="true" ht="35" r="104">
      <c r="A104" s="1">
        <f>$A103+1</f>
      </c>
      <c r="B104" s="5"/>
      <c r="C104" s="8" t="str">
        <v>3.5.2 软件研究（网路安全研究、算法研究等）</v>
      </c>
      <c r="D104" s="16"/>
      <c r="E104" s="4"/>
      <c r="F104" s="6"/>
      <c r="G104" s="7" t="str">
        <v>姚俨铃</v>
      </c>
      <c r="H104" s="3"/>
      <c r="I104" s="3"/>
      <c r="J104" s="7" t="str">
        <v>未开始</v>
      </c>
      <c r="K104" s="3"/>
      <c r="L104" s="17"/>
      <c r="M104" s="3"/>
      <c r="N104" s="3"/>
      <c r="O104" s="3"/>
    </row>
    <row customHeight="true" ht="25" r="105">
      <c r="A105" s="1">
        <f>$A104+1</f>
      </c>
      <c r="B105" s="5"/>
      <c r="C105" s="8" t="str">
        <v>3.6非临床文献</v>
      </c>
      <c r="D105" s="10"/>
      <c r="E105" s="2"/>
      <c r="F105" s="13"/>
      <c r="G105" s="9" t="str">
        <v>姚俨铃</v>
      </c>
      <c r="H105" s="11"/>
      <c r="I105" s="11"/>
      <c r="J105" s="9" t="str">
        <v>未开始</v>
      </c>
      <c r="K105" s="11"/>
      <c r="L105" s="12"/>
      <c r="M105" s="11"/>
      <c r="N105" s="11"/>
      <c r="O105" s="11"/>
    </row>
    <row customHeight="true" ht="25" r="106">
      <c r="A106" s="1">
        <f>$A105+1</f>
      </c>
      <c r="B106" s="5"/>
      <c r="C106" s="8" t="str">
        <v>3.7稳定性研究</v>
      </c>
      <c r="D106" s="16"/>
      <c r="E106" s="4"/>
      <c r="F106" s="6"/>
      <c r="G106" s="7" t="str">
        <v>姚俨铃</v>
      </c>
      <c r="H106" s="3"/>
      <c r="I106" s="3"/>
      <c r="J106" s="7" t="str">
        <v>未开始</v>
      </c>
      <c r="K106" s="3"/>
      <c r="L106" s="17"/>
      <c r="M106" s="3"/>
      <c r="N106" s="3"/>
      <c r="O106" s="3"/>
    </row>
    <row customHeight="true" ht="25" r="107">
      <c r="A107" s="1">
        <f>$A106+1</f>
      </c>
      <c r="B107" s="5"/>
      <c r="C107" s="8" t="str">
        <v>3.8其他资料</v>
      </c>
      <c r="D107" s="10"/>
      <c r="E107" s="2"/>
      <c r="F107" s="13"/>
      <c r="G107" s="9" t="str">
        <v>姚俨铃</v>
      </c>
      <c r="H107" s="11"/>
      <c r="I107" s="11"/>
      <c r="J107" s="9" t="str">
        <v>未开始</v>
      </c>
      <c r="K107" s="11"/>
      <c r="L107" s="12"/>
      <c r="M107" s="11"/>
      <c r="N107" s="11"/>
      <c r="O107" s="11"/>
    </row>
    <row customHeight="true" ht="25" r="108">
      <c r="A108" s="1">
        <f>$A107+1</f>
      </c>
      <c r="B108" s="5"/>
      <c r="C108" s="15" t="str">
        <v>4、临床评价资料</v>
      </c>
      <c r="D108" s="16"/>
      <c r="E108" s="4"/>
      <c r="F108" s="6"/>
      <c r="G108" s="7" t="str">
        <v>姚俨铃</v>
      </c>
      <c r="H108" s="3"/>
      <c r="I108" s="3"/>
      <c r="J108" s="7" t="str">
        <v>未开始</v>
      </c>
      <c r="K108" s="3"/>
      <c r="L108" s="17"/>
      <c r="M108" s="3"/>
      <c r="N108" s="3"/>
      <c r="O108" s="3"/>
    </row>
    <row customHeight="true" ht="25" r="109">
      <c r="A109" s="1">
        <f>$A108+1</f>
      </c>
      <c r="B109" s="5"/>
      <c r="C109" s="8" t="str">
        <v>4.1章节目录</v>
      </c>
      <c r="D109" s="10"/>
      <c r="E109" s="2"/>
      <c r="F109" s="13"/>
      <c r="G109" s="9" t="str">
        <v>姚俨铃</v>
      </c>
      <c r="H109" s="11"/>
      <c r="I109" s="11"/>
      <c r="J109" s="9" t="str">
        <v>未开始</v>
      </c>
      <c r="K109" s="11"/>
      <c r="L109" s="12"/>
      <c r="M109" s="11"/>
      <c r="N109" s="11"/>
      <c r="O109" s="11"/>
    </row>
    <row customHeight="true" ht="25" r="110">
      <c r="A110" s="1">
        <f>$A109+1</f>
      </c>
      <c r="B110" s="5"/>
      <c r="C110" s="8" t="str">
        <v>4.2临床评价资料要求</v>
      </c>
      <c r="D110" s="16"/>
      <c r="E110" s="4"/>
      <c r="F110" s="6"/>
      <c r="G110" s="7" t="str">
        <v>姚俨铃</v>
      </c>
      <c r="H110" s="3"/>
      <c r="I110" s="3"/>
      <c r="J110" s="7" t="str">
        <v>未开始</v>
      </c>
      <c r="K110" s="3"/>
      <c r="L110" s="17"/>
      <c r="M110" s="3"/>
      <c r="N110" s="3"/>
      <c r="O110" s="3"/>
    </row>
    <row customHeight="true" ht="25" r="111">
      <c r="A111" s="1">
        <f>$A110+1</f>
      </c>
      <c r="B111" s="5"/>
      <c r="C111" s="8" t="str">
        <v>4.3其他资料</v>
      </c>
      <c r="D111" s="10"/>
      <c r="E111" s="2"/>
      <c r="F111" s="13"/>
      <c r="G111" s="9" t="str">
        <v>姚俨铃</v>
      </c>
      <c r="H111" s="11"/>
      <c r="I111" s="11"/>
      <c r="J111" s="9" t="str">
        <v>未开始</v>
      </c>
      <c r="K111" s="11"/>
      <c r="L111" s="12"/>
      <c r="M111" s="11"/>
      <c r="N111" s="11"/>
      <c r="O111" s="11"/>
    </row>
    <row customHeight="true" ht="25" r="112">
      <c r="A112" s="1">
        <f>$A111+1</f>
      </c>
      <c r="B112" s="5"/>
      <c r="C112" s="15" t="str">
        <v>5.产品说明书和标签样稿</v>
      </c>
      <c r="D112" s="16"/>
      <c r="E112" s="4"/>
      <c r="F112" s="6"/>
      <c r="G112" s="7" t="str">
        <v>姚俨铃</v>
      </c>
      <c r="H112" s="3"/>
      <c r="I112" s="3"/>
      <c r="J112" s="7" t="str">
        <v>未开始</v>
      </c>
      <c r="K112" s="3"/>
      <c r="L112" s="17"/>
      <c r="M112" s="3"/>
      <c r="N112" s="3"/>
      <c r="O112" s="3"/>
    </row>
    <row customHeight="true" ht="25" r="113">
      <c r="A113" s="1">
        <f>$A112+1</f>
      </c>
      <c r="B113" s="5"/>
      <c r="C113" s="8" t="str">
        <v>5.1章节目录</v>
      </c>
      <c r="D113" s="10"/>
      <c r="E113" s="2"/>
      <c r="F113" s="13"/>
      <c r="G113" s="9" t="str">
        <v>姚俨铃</v>
      </c>
      <c r="H113" s="11"/>
      <c r="I113" s="11"/>
      <c r="J113" s="9" t="str">
        <v>未开始</v>
      </c>
      <c r="K113" s="11"/>
      <c r="L113" s="12"/>
      <c r="M113" s="11"/>
      <c r="N113" s="11"/>
      <c r="O113" s="11"/>
    </row>
    <row customHeight="true" ht="25" r="114">
      <c r="A114" s="1">
        <f>$A113+1</f>
      </c>
      <c r="B114" s="5"/>
      <c r="C114" s="8" t="str">
        <v>5.2产品说明书</v>
      </c>
      <c r="D114" s="16"/>
      <c r="E114" s="4"/>
      <c r="F114" s="6"/>
      <c r="G114" s="7" t="str">
        <v>姚俨铃</v>
      </c>
      <c r="H114" s="3"/>
      <c r="I114" s="3"/>
      <c r="J114" s="7" t="str">
        <v>未开始</v>
      </c>
      <c r="K114" s="3"/>
      <c r="L114" s="17"/>
      <c r="M114" s="3"/>
      <c r="N114" s="3"/>
      <c r="O114" s="3"/>
    </row>
    <row customHeight="true" ht="25" r="115">
      <c r="A115" s="1">
        <f>$A114+1</f>
      </c>
      <c r="B115" s="5"/>
      <c r="C115" s="8" t="str">
        <v>5.3标签样稿</v>
      </c>
      <c r="D115" s="10"/>
      <c r="E115" s="2"/>
      <c r="F115" s="13"/>
      <c r="G115" s="9" t="str">
        <v>姚俨铃</v>
      </c>
      <c r="H115" s="11"/>
      <c r="I115" s="11"/>
      <c r="J115" s="9" t="str">
        <v>未开始</v>
      </c>
      <c r="K115" s="11"/>
      <c r="L115" s="12"/>
      <c r="M115" s="11"/>
      <c r="N115" s="11"/>
      <c r="O115" s="11"/>
    </row>
    <row customHeight="true" ht="25" r="116">
      <c r="A116" s="1">
        <f>$A115+1</f>
      </c>
      <c r="B116" s="5"/>
      <c r="C116" s="8" t="str">
        <v>5.4其他资料</v>
      </c>
      <c r="D116" s="16"/>
      <c r="E116" s="4"/>
      <c r="F116" s="6"/>
      <c r="G116" s="7" t="str">
        <v>姚俨铃</v>
      </c>
      <c r="H116" s="3"/>
      <c r="I116" s="3"/>
      <c r="J116" s="7" t="str">
        <v>未开始</v>
      </c>
      <c r="K116" s="3"/>
      <c r="L116" s="17"/>
      <c r="M116" s="3"/>
      <c r="N116" s="3"/>
      <c r="O116" s="3"/>
    </row>
    <row customHeight="true" ht="25" r="117">
      <c r="A117" s="1">
        <f>$A116+1</f>
      </c>
      <c r="B117" s="5"/>
      <c r="C117" s="15" t="str">
        <v>6、质量管理体系文件</v>
      </c>
      <c r="D117" s="10"/>
      <c r="E117" s="2"/>
      <c r="F117" s="13"/>
      <c r="G117" s="9" t="str">
        <v>姚俨铃</v>
      </c>
      <c r="H117" s="11"/>
      <c r="I117" s="11"/>
      <c r="J117" s="9" t="str">
        <v>未开始</v>
      </c>
      <c r="K117" s="11"/>
      <c r="L117" s="12"/>
      <c r="M117" s="11"/>
      <c r="N117" s="11"/>
      <c r="O117" s="11"/>
    </row>
    <row customHeight="true" ht="25" r="118">
      <c r="A118" s="1">
        <f>$A117+1</f>
      </c>
      <c r="B118" s="5"/>
      <c r="C118" s="8" t="str">
        <v>6.1综述</v>
      </c>
      <c r="D118" s="16"/>
      <c r="E118" s="4"/>
      <c r="F118" s="6"/>
      <c r="G118" s="7" t="str">
        <v>姚俨铃</v>
      </c>
      <c r="H118" s="3"/>
      <c r="I118" s="3"/>
      <c r="J118" s="7" t="str">
        <v>未开始</v>
      </c>
      <c r="K118" s="3"/>
      <c r="L118" s="17"/>
      <c r="M118" s="3"/>
      <c r="N118" s="3"/>
      <c r="O118" s="3"/>
    </row>
    <row customHeight="true" ht="25" r="119">
      <c r="A119" s="1">
        <f>$A118+1</f>
      </c>
      <c r="B119" s="5"/>
      <c r="C119" s="8" t="str">
        <v>6.2章节目录</v>
      </c>
      <c r="D119" s="10"/>
      <c r="E119" s="2"/>
      <c r="F119" s="13"/>
      <c r="G119" s="9" t="str">
        <v>姚俨铃</v>
      </c>
      <c r="H119" s="11"/>
      <c r="I119" s="11"/>
      <c r="J119" s="9" t="str">
        <v>未开始</v>
      </c>
      <c r="K119" s="11"/>
      <c r="L119" s="12"/>
      <c r="M119" s="11"/>
      <c r="N119" s="11"/>
      <c r="O119" s="11"/>
    </row>
    <row customHeight="true" ht="25" r="120">
      <c r="A120" s="1">
        <f>$A119+1</f>
      </c>
      <c r="B120" s="5"/>
      <c r="C120" s="8" t="str">
        <v>6.3生产制造信息</v>
      </c>
      <c r="D120" s="16"/>
      <c r="E120" s="4"/>
      <c r="F120" s="6"/>
      <c r="G120" s="7" t="str">
        <v>姚俨铃</v>
      </c>
      <c r="H120" s="3"/>
      <c r="I120" s="3"/>
      <c r="J120" s="7" t="str">
        <v>未开始</v>
      </c>
      <c r="K120" s="3"/>
      <c r="L120" s="17"/>
      <c r="M120" s="3"/>
      <c r="N120" s="3"/>
      <c r="O120" s="3"/>
    </row>
    <row customHeight="true" ht="25" r="121">
      <c r="A121" s="1">
        <f>$A120+1</f>
      </c>
      <c r="B121" s="5"/>
      <c r="C121" s="8" t="str">
        <v>6.4质量管理体系程序</v>
      </c>
      <c r="D121" s="10"/>
      <c r="E121" s="2"/>
      <c r="F121" s="13"/>
      <c r="G121" s="9" t="str">
        <v>姚俨铃</v>
      </c>
      <c r="H121" s="11"/>
      <c r="I121" s="11"/>
      <c r="J121" s="9" t="str">
        <v>未开始</v>
      </c>
      <c r="K121" s="11"/>
      <c r="L121" s="12"/>
      <c r="M121" s="11"/>
      <c r="N121" s="11"/>
      <c r="O121" s="11"/>
    </row>
    <row customHeight="true" ht="25" r="122">
      <c r="A122" s="1">
        <f>$A121+1</f>
      </c>
      <c r="B122" s="5"/>
      <c r="C122" s="8" t="str">
        <v>6.5管理职责程序</v>
      </c>
      <c r="D122" s="16"/>
      <c r="E122" s="4"/>
      <c r="F122" s="6"/>
      <c r="G122" s="7" t="str">
        <v>姚俨铃</v>
      </c>
      <c r="H122" s="3"/>
      <c r="I122" s="3"/>
      <c r="J122" s="7" t="str">
        <v>未开始</v>
      </c>
      <c r="K122" s="3"/>
      <c r="L122" s="17"/>
      <c r="M122" s="3"/>
      <c r="N122" s="3"/>
      <c r="O122" s="3"/>
    </row>
    <row customHeight="true" ht="25" r="123">
      <c r="A123" s="1">
        <f>$A122+1</f>
      </c>
      <c r="B123" s="5"/>
      <c r="C123" s="8" t="str">
        <v>6.6资源管理程序</v>
      </c>
      <c r="D123" s="10"/>
      <c r="E123" s="2"/>
      <c r="F123" s="13"/>
      <c r="G123" s="9" t="str">
        <v>姚俨铃</v>
      </c>
      <c r="H123" s="11"/>
      <c r="I123" s="11"/>
      <c r="J123" s="9" t="str">
        <v>未开始</v>
      </c>
      <c r="K123" s="11"/>
      <c r="L123" s="12"/>
      <c r="M123" s="11"/>
      <c r="N123" s="11"/>
      <c r="O123" s="11"/>
    </row>
    <row customHeight="true" ht="25" r="124">
      <c r="A124" s="1">
        <f>$A123+1</f>
      </c>
      <c r="B124" s="5"/>
      <c r="C124" s="8" t="str">
        <v>6.7产品实现程序</v>
      </c>
      <c r="D124" s="16"/>
      <c r="E124" s="4"/>
      <c r="F124" s="6"/>
      <c r="G124" s="7" t="str">
        <v>姚俨铃</v>
      </c>
      <c r="H124" s="3"/>
      <c r="I124" s="3"/>
      <c r="J124" s="7" t="str">
        <v>未开始</v>
      </c>
      <c r="K124" s="3"/>
      <c r="L124" s="17"/>
      <c r="M124" s="3"/>
      <c r="N124" s="3"/>
      <c r="O124" s="3"/>
    </row>
    <row customHeight="true" ht="35" r="125">
      <c r="A125" s="1">
        <f>$A124+1</f>
      </c>
      <c r="B125" s="5"/>
      <c r="C125" s="8" t="str">
        <v>6.8质量管理体系的测量、分析和改进程序</v>
      </c>
      <c r="D125" s="10"/>
      <c r="E125" s="2"/>
      <c r="F125" s="13"/>
      <c r="G125" s="9" t="str">
        <v>姚俨铃</v>
      </c>
      <c r="H125" s="11"/>
      <c r="I125" s="11"/>
      <c r="J125" s="9" t="str">
        <v>未开始</v>
      </c>
      <c r="K125" s="11"/>
      <c r="L125" s="12"/>
      <c r="M125" s="11"/>
      <c r="N125" s="11"/>
      <c r="O125" s="11"/>
    </row>
    <row customHeight="true" ht="25" r="126">
      <c r="A126" s="1">
        <f>$A125+1</f>
      </c>
      <c r="B126" s="5"/>
      <c r="C126" s="8" t="str">
        <v>6.9其他质量体系程序信息</v>
      </c>
      <c r="D126" s="16"/>
      <c r="E126" s="4"/>
      <c r="F126" s="6"/>
      <c r="G126" s="7" t="str">
        <v>姚俨铃</v>
      </c>
      <c r="H126" s="3"/>
      <c r="I126" s="3"/>
      <c r="J126" s="7" t="str">
        <v>未开始</v>
      </c>
      <c r="K126" s="3"/>
      <c r="L126" s="17"/>
      <c r="M126" s="3"/>
      <c r="N126" s="3"/>
      <c r="O126" s="3"/>
    </row>
    <row customHeight="true" ht="25" r="127">
      <c r="A127" s="1">
        <f>$A126+1</f>
      </c>
      <c r="B127" s="5"/>
      <c r="C127" s="8" t="str">
        <v>6.10质量管理体系核查文件</v>
      </c>
      <c r="D127" s="10"/>
      <c r="E127" s="2"/>
      <c r="F127" s="13"/>
      <c r="G127" s="9" t="str">
        <v>姚俨铃</v>
      </c>
      <c r="H127" s="11"/>
      <c r="I127" s="11"/>
      <c r="J127" s="9" t="str">
        <v>未开始</v>
      </c>
      <c r="K127" s="11"/>
      <c r="L127" s="12"/>
      <c r="M127" s="11"/>
      <c r="N127" s="11"/>
      <c r="O127" s="11"/>
    </row>
  </sheetData>
  <mergeCells>
    <mergeCell ref="A1:O1"/>
    <mergeCell ref="B3:B10"/>
    <mergeCell ref="B11:B30"/>
    <mergeCell ref="B31:B34"/>
    <mergeCell ref="B35:B36"/>
    <mergeCell ref="B37:B49"/>
    <mergeCell ref="B50:B81"/>
    <mergeCell ref="B82:B127"/>
  </mergeCells>
  <conditionalFormatting sqref="J2:J127 K11:K127">
    <cfRule dxfId="0" operator="equal" priority="2" stopIfTrue="true" type="cellIs">
      <formula>"未开始"</formula>
    </cfRule>
  </conditionalFormatting>
  <conditionalFormatting sqref="J2:J127 K11:K127">
    <cfRule dxfId="1" operator="equal" priority="3" stopIfTrue="true" type="cellIs">
      <formula>"进行中"</formula>
    </cfRule>
  </conditionalFormatting>
  <conditionalFormatting sqref="J2:J127 K11:K127">
    <cfRule dxfId="2" operator="equal" priority="4" stopIfTrue="true" type="cellIs">
      <formula>"已完成"</formula>
    </cfRule>
  </conditionalFormatting>
  <dataValidations count="9">
    <dataValidation allowBlank="true" errorStyle="stop" showErrorMessage="true" sqref="J4:J6 J8:J127" type="list">
      <formula1>",进行中,未开始,已完成,内部审核人(应总),内部审核人(符总),捷通审核(张凤姝),李磊、捷通"</formula1>
    </dataValidation>
    <dataValidation allowBlank="true" errorStyle="stop" showErrorMessage="true" sqref="K37:K127" type="list">
      <formula1>",状态,应总,符总,李磊"</formula1>
    </dataValidation>
    <dataValidation allowBlank="true" errorStyle="stop" showErrorMessage="true" sqref="G3" type="list">
      <formula1>"顾总,李磊,符灵建,张文慧,应致标,李静,张检"</formula1>
    </dataValidation>
    <dataValidation allowBlank="true" errorStyle="stop" showErrorMessage="true" sqref="J2" type="list">
      <formula1>",状态,未开始,进行中,已完成"</formula1>
    </dataValidation>
    <dataValidation allowBlank="true" errorStyle="stop" showErrorMessage="true" sqref="G9:G127" type="list">
      <formula1>"顾总,李磊,符总,张文慧,应致标,静总,张检总,姚俨铃,责任人"</formula1>
    </dataValidation>
    <dataValidation allowBlank="true" errorStyle="stop" showErrorMessage="true" sqref="G7:G8" type="list">
      <formula1>"顾总,李磊,符总,张文慧,应致标,静总,张检总,姚俨铃"</formula1>
    </dataValidation>
    <dataValidation allowBlank="true" errorStyle="stop" showErrorMessage="true" sqref="J3 J7" type="list">
      <formula1>",状态,未开始,已完成,内部审核人(应总),内部审核人(符总),捷通,李磊、捷通"</formula1>
    </dataValidation>
    <dataValidation allowBlank="true" errorStyle="stop" showErrorMessage="true" sqref="G4:G6" type="list">
      <formula1>"顾总,李磊,符总,张文慧,应致标,静总,张检总"</formula1>
    </dataValidation>
    <dataValidation allowBlank="true" errorStyle="stop" showErrorMessage="true" sqref="G2" type="list">
      <formula1>"责任人,李磊,胡波,张丽,符灵建,李磊、宋罗蛾,全项目组,李磊、符灵建,李磊、曹晶晶,曹晶晶,新项目,李磊、胡波"</formula1>
    </dataValidation>
  </dataValidation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D3" xSplit="3" ySplit="2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24"/>
    <col collapsed="false" customWidth="true" hidden="false" max="3" min="3" style="0" width="30"/>
    <col collapsed="false" customWidth="true" hidden="false" max="4" min="4" style="0" width="16"/>
    <col collapsed="false" customWidth="true" hidden="false" max="5" min="5" style="0" width="15"/>
    <col collapsed="false" customWidth="true" hidden="false" max="6" min="6" style="0" width="6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9"/>
    <col collapsed="false" customWidth="true" hidden="false" max="11" min="11" style="0" width="12"/>
    <col collapsed="false" customWidth="true" hidden="false" max="12" min="12" style="0" width="16"/>
    <col collapsed="false" customWidth="true" hidden="false" max="13" min="13" style="0" width="12"/>
    <col collapsed="false" customWidth="true" hidden="false" max="14" min="14" style="0" width="13"/>
    <col collapsed="false" customWidth="true" hidden="false" max="15" min="15" style="0" width="15"/>
    <col collapsed="false" customWidth="true" hidden="false" max="16" min="16" style="0" width="9"/>
    <col collapsed="false" customWidth="true" hidden="false" max="17" min="17" style="0" width="16"/>
    <col collapsed="false" customWidth="true" hidden="false" max="18" min="18" style="0" width="18"/>
    <col collapsed="false" customWidth="true" hidden="false" max="19" min="19" style="0" width="18"/>
    <col collapsed="false" customWidth="true" hidden="false" max="20" min="20" style="0" width="18"/>
  </cols>
  <sheetData>
    <row customHeight="true" ht="35" r="1">
      <c r="A1" s="29" t="str">
        <v>动态分析4.0软件注册项目滚动计划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customHeight="true" ht="35" r="2">
      <c r="A2" s="26" t="str">
        <v>序号</v>
      </c>
      <c r="B2" s="26" t="str">
        <v>项目/材料归类</v>
      </c>
      <c r="C2" s="26" t="str">
        <v>任务/材料清单</v>
      </c>
      <c r="D2" s="27" t="str">
        <v>开始时间</v>
      </c>
      <c r="E2" s="27" t="str">
        <v>计划结束时间</v>
      </c>
      <c r="F2" s="27" t="str">
        <v>天数</v>
      </c>
      <c r="G2" s="27" t="str">
        <v>最终计划完成时间</v>
      </c>
      <c r="H2" s="27" t="str">
        <v>最终完成时间</v>
      </c>
      <c r="I2" s="26" t="str">
        <v>责任人</v>
      </c>
      <c r="J2" s="28" t="str">
        <v>版本</v>
      </c>
      <c r="K2" s="28" t="str">
        <v>完成进度</v>
      </c>
      <c r="L2" s="26" t="str">
        <v>状态</v>
      </c>
      <c r="M2" s="28" t="str">
        <v>内部审核人</v>
      </c>
      <c r="N2" s="28" t="str">
        <v>开始时间</v>
      </c>
      <c r="O2" s="28" t="str">
        <v>结束时间</v>
      </c>
      <c r="P2" s="28" t="str">
        <v>天数</v>
      </c>
      <c r="Q2" s="26" t="str">
        <v>备注</v>
      </c>
    </row>
    <row customHeight="true" ht="22" r="3">
      <c r="A3" s="19">
        <v>1</v>
      </c>
      <c r="B3" s="24" t="str">
        <v>项目筹备</v>
      </c>
      <c r="C3" s="22" t="str">
        <v>项目论证筹备</v>
      </c>
      <c r="D3" s="21">
        <v>43587</v>
      </c>
      <c r="E3" s="20">
        <v>43642</v>
      </c>
      <c r="F3" s="25">
        <f>IF(E3-D3=0,1,E3-D3)</f>
      </c>
      <c r="G3" s="20"/>
      <c r="H3" s="20"/>
      <c r="I3" s="23" t="str">
        <v>顾总</v>
      </c>
      <c r="J3" s="18"/>
      <c r="K3" s="18"/>
      <c r="L3" s="23" t="str">
        <v>已完成</v>
      </c>
      <c r="M3" s="18"/>
      <c r="N3" s="18"/>
      <c r="O3" s="18"/>
      <c r="P3" s="18"/>
      <c r="Q3" s="18"/>
    </row>
    <row customHeight="true" ht="22" r="4">
      <c r="A4" s="1">
        <f>$A3+1</f>
      </c>
      <c r="B4" s="5"/>
      <c r="C4" s="8" t="str">
        <v>供应商选型</v>
      </c>
      <c r="D4" s="16"/>
      <c r="E4" s="4"/>
      <c r="F4" s="6">
        <f>IF(E4-D4=0,1,E4-D4)</f>
      </c>
      <c r="G4" s="4"/>
      <c r="H4" s="4"/>
      <c r="I4" s="7" t="str">
        <v>静总</v>
      </c>
      <c r="J4" s="3"/>
      <c r="K4" s="3"/>
      <c r="L4" s="7" t="str">
        <v>已完成</v>
      </c>
      <c r="M4" s="3"/>
      <c r="N4" s="3"/>
      <c r="O4" s="3"/>
      <c r="P4" s="3"/>
      <c r="Q4" s="3"/>
    </row>
    <row customHeight="true" ht="22" r="5">
      <c r="A5" s="1">
        <f>$A4+1</f>
      </c>
      <c r="B5" s="5"/>
      <c r="C5" s="8" t="str">
        <v>供应商确认</v>
      </c>
      <c r="D5" s="10"/>
      <c r="E5" s="2"/>
      <c r="F5" s="13">
        <f>IF(E5-D5=0,1,E5-D5)</f>
      </c>
      <c r="G5" s="2"/>
      <c r="H5" s="2"/>
      <c r="I5" s="9" t="str">
        <v>静总</v>
      </c>
      <c r="J5" s="11"/>
      <c r="K5" s="11"/>
      <c r="L5" s="9" t="str">
        <v>进行中</v>
      </c>
      <c r="M5" s="11"/>
      <c r="N5" s="11"/>
      <c r="O5" s="11"/>
      <c r="P5" s="11"/>
      <c r="Q5" s="11"/>
    </row>
    <row customHeight="true" ht="22" r="6">
      <c r="A6" s="1">
        <f>$A5+1</f>
      </c>
      <c r="B6" s="5"/>
      <c r="C6" s="8" t="str">
        <v>供应商签订协议</v>
      </c>
      <c r="D6" s="16"/>
      <c r="E6" s="4"/>
      <c r="F6" s="6">
        <f>IF(E6-D6=0,1,E6-D6)</f>
      </c>
      <c r="G6" s="4"/>
      <c r="H6" s="4"/>
      <c r="I6" s="7" t="str">
        <v>静总</v>
      </c>
      <c r="J6" s="3"/>
      <c r="K6" s="3"/>
      <c r="L6" s="7" t="str">
        <v>进行中</v>
      </c>
      <c r="M6" s="3"/>
      <c r="N6" s="3"/>
      <c r="O6" s="3"/>
      <c r="P6" s="3"/>
      <c r="Q6" s="3"/>
    </row>
    <row customHeight="true" ht="22" r="7">
      <c r="A7" s="1">
        <f>$A6+1</f>
      </c>
      <c r="B7" s="5"/>
      <c r="C7" s="8" t="str">
        <v>项目启动</v>
      </c>
      <c r="D7" s="10">
        <v>43642</v>
      </c>
      <c r="E7" s="2">
        <v>43642</v>
      </c>
      <c r="F7" s="13">
        <f>IF(E7-D7=0,1,(E7-D7)+1)</f>
      </c>
      <c r="G7" s="2"/>
      <c r="H7" s="2"/>
      <c r="I7" s="9" t="str">
        <v>李磊</v>
      </c>
      <c r="J7" s="11"/>
      <c r="K7" s="11"/>
      <c r="L7" s="9" t="str">
        <v>已完成</v>
      </c>
      <c r="M7" s="11"/>
      <c r="N7" s="11"/>
      <c r="O7" s="11"/>
      <c r="P7" s="11"/>
      <c r="Q7" s="11"/>
    </row>
    <row customHeight="true" ht="22" r="8">
      <c r="A8" s="1">
        <f>$A7+1</f>
      </c>
      <c r="B8" s="5"/>
      <c r="C8" s="8" t="str">
        <v>分类鉴定</v>
      </c>
      <c r="D8" s="16"/>
      <c r="E8" s="4"/>
      <c r="F8" s="6"/>
      <c r="G8" s="4"/>
      <c r="H8" s="4"/>
      <c r="I8" s="7" t="str">
        <v>姚俨铃</v>
      </c>
      <c r="J8" s="3"/>
      <c r="K8" s="3"/>
      <c r="L8" s="7" t="str">
        <v>未开始</v>
      </c>
      <c r="M8" s="3"/>
      <c r="N8" s="3"/>
      <c r="O8" s="3"/>
      <c r="P8" s="3"/>
      <c r="Q8" s="3"/>
    </row>
    <row customHeight="true" ht="22" r="9">
      <c r="A9" s="1">
        <f>$A8+1</f>
      </c>
      <c r="B9" s="5"/>
      <c r="C9" s="8" t="str">
        <v>产品名称确认</v>
      </c>
      <c r="D9" s="10"/>
      <c r="E9" s="2"/>
      <c r="F9" s="13"/>
      <c r="G9" s="2"/>
      <c r="H9" s="2"/>
      <c r="I9" s="9" t="str">
        <v>顾总</v>
      </c>
      <c r="J9" s="11"/>
      <c r="K9" s="11"/>
      <c r="L9" s="9" t="str">
        <v>未开始</v>
      </c>
      <c r="M9" s="11"/>
      <c r="N9" s="11"/>
      <c r="O9" s="11"/>
      <c r="P9" s="11"/>
      <c r="Q9" s="11"/>
    </row>
    <row customHeight="true" ht="22" r="10">
      <c r="A10" s="1">
        <f>$A9+1</f>
      </c>
      <c r="B10" s="5"/>
      <c r="C10" s="8" t="str">
        <v>名称合规性审查</v>
      </c>
      <c r="D10" s="16"/>
      <c r="E10" s="4"/>
      <c r="F10" s="6"/>
      <c r="G10" s="4"/>
      <c r="H10" s="4"/>
      <c r="I10" s="7" t="str">
        <v>姚俨铃</v>
      </c>
      <c r="J10" s="3"/>
      <c r="K10" s="3"/>
      <c r="L10" s="7" t="str">
        <v>未开始</v>
      </c>
      <c r="M10" s="3"/>
      <c r="N10" s="3"/>
      <c r="O10" s="3"/>
      <c r="P10" s="3"/>
      <c r="Q10" s="3"/>
    </row>
    <row customHeight="true" ht="22" r="11">
      <c r="A11" s="1">
        <f>$A10+1</f>
      </c>
      <c r="B11" s="14" t="str">
        <v>产品研发</v>
      </c>
      <c r="C11" s="8" t="str">
        <v>需求编写</v>
      </c>
      <c r="D11" s="10"/>
      <c r="E11" s="2"/>
      <c r="F11" s="13"/>
      <c r="G11" s="2"/>
      <c r="H11" s="2"/>
      <c r="I11" s="9" t="str">
        <v>责任人</v>
      </c>
      <c r="J11" s="11"/>
      <c r="K11" s="11"/>
      <c r="L11" s="9" t="str">
        <v>未开始</v>
      </c>
      <c r="M11" s="9"/>
      <c r="N11" s="2"/>
      <c r="O11" s="2"/>
      <c r="P11" s="11"/>
      <c r="Q11" s="11"/>
    </row>
    <row customHeight="true" ht="22" r="12">
      <c r="A12" s="1">
        <f>$A11+1</f>
      </c>
      <c r="B12" s="5"/>
      <c r="C12" s="8" t="str">
        <v>需求确认</v>
      </c>
      <c r="D12" s="16"/>
      <c r="E12" s="4"/>
      <c r="F12" s="6"/>
      <c r="G12" s="4"/>
      <c r="H12" s="4"/>
      <c r="I12" s="7" t="str">
        <v>顾总</v>
      </c>
      <c r="J12" s="3"/>
      <c r="K12" s="3"/>
      <c r="L12" s="3"/>
      <c r="M12" s="7"/>
      <c r="N12" s="4"/>
      <c r="O12" s="4"/>
      <c r="P12" s="3"/>
      <c r="Q12" s="3"/>
    </row>
    <row customHeight="true" ht="22" r="13">
      <c r="A13" s="1">
        <f>$A12+1</f>
      </c>
      <c r="B13" s="5"/>
      <c r="C13" s="8" t="str">
        <v>概要设计</v>
      </c>
      <c r="D13" s="10"/>
      <c r="E13" s="2"/>
      <c r="F13" s="13"/>
      <c r="G13" s="2"/>
      <c r="H13" s="2"/>
      <c r="I13" s="9" t="str">
        <v>责任人</v>
      </c>
      <c r="J13" s="11"/>
      <c r="K13" s="11"/>
      <c r="L13" s="9" t="str">
        <v>未开始</v>
      </c>
      <c r="M13" s="11"/>
      <c r="N13" s="2"/>
      <c r="O13" s="2"/>
      <c r="P13" s="11"/>
      <c r="Q13" s="11"/>
    </row>
    <row customHeight="true" ht="22" r="14">
      <c r="A14" s="1">
        <f>$A13+1</f>
      </c>
      <c r="B14" s="5"/>
      <c r="C14" s="8" t="str">
        <v>详细设计</v>
      </c>
      <c r="D14" s="16"/>
      <c r="E14" s="4"/>
      <c r="F14" s="6"/>
      <c r="G14" s="4"/>
      <c r="H14" s="4"/>
      <c r="I14" s="7" t="str">
        <v>责任人</v>
      </c>
      <c r="J14" s="3"/>
      <c r="K14" s="3"/>
      <c r="L14" s="7" t="str">
        <v>未开始</v>
      </c>
      <c r="M14" s="3"/>
      <c r="N14" s="4"/>
      <c r="O14" s="4"/>
      <c r="P14" s="3"/>
      <c r="Q14" s="3"/>
    </row>
    <row customHeight="true" ht="22" r="15">
      <c r="A15" s="1">
        <f>$A14+1</f>
      </c>
      <c r="B15" s="5"/>
      <c r="C15" s="8" t="str">
        <v>技术要求</v>
      </c>
      <c r="D15" s="10"/>
      <c r="E15" s="2"/>
      <c r="F15" s="13"/>
      <c r="G15" s="2"/>
      <c r="H15" s="2"/>
      <c r="I15" s="9" t="str">
        <v>责任人</v>
      </c>
      <c r="J15" s="11"/>
      <c r="K15" s="11"/>
      <c r="L15" s="9" t="str">
        <v>未开始</v>
      </c>
      <c r="M15" s="11"/>
      <c r="N15" s="2"/>
      <c r="O15" s="2"/>
      <c r="P15" s="11"/>
      <c r="Q15" s="11"/>
    </row>
    <row customHeight="true" ht="22" r="16">
      <c r="A16" s="1">
        <f>$A11+1</f>
      </c>
      <c r="B16" s="5"/>
      <c r="C16" s="8" t="str">
        <v>算法研发</v>
      </c>
      <c r="D16" s="16"/>
      <c r="E16" s="4"/>
      <c r="F16" s="6"/>
      <c r="G16" s="4"/>
      <c r="H16" s="4"/>
      <c r="I16" s="7" t="str">
        <v>责任人</v>
      </c>
      <c r="J16" s="7" t="str">
        <v>6版</v>
      </c>
      <c r="K16" s="3"/>
      <c r="L16" s="7" t="str">
        <v>未开始</v>
      </c>
      <c r="M16" s="7"/>
      <c r="N16" s="4"/>
      <c r="O16" s="4"/>
      <c r="P16" s="3"/>
      <c r="Q16" s="3"/>
    </row>
    <row customHeight="true" ht="22" r="17">
      <c r="A17" s="1">
        <f>$A16+1</f>
      </c>
      <c r="B17" s="5"/>
      <c r="C17" s="8" t="str">
        <v>云端研发</v>
      </c>
      <c r="D17" s="10"/>
      <c r="E17" s="2"/>
      <c r="F17" s="13"/>
      <c r="G17" s="2"/>
      <c r="H17" s="2"/>
      <c r="I17" s="9" t="str">
        <v>责任人</v>
      </c>
      <c r="J17" s="9" t="str">
        <v>1版</v>
      </c>
      <c r="K17" s="11"/>
      <c r="L17" s="9" t="str">
        <v>未开始</v>
      </c>
      <c r="M17" s="9"/>
      <c r="N17" s="2"/>
      <c r="O17" s="2"/>
      <c r="P17" s="11"/>
      <c r="Q17" s="11"/>
    </row>
    <row customHeight="true" ht="22" r="18">
      <c r="A18" s="1">
        <f>$A17+1</f>
      </c>
      <c r="B18" s="5"/>
      <c r="C18" s="8" t="str">
        <v>客户端(医生端)研发</v>
      </c>
      <c r="D18" s="16"/>
      <c r="E18" s="4"/>
      <c r="F18" s="6"/>
      <c r="G18" s="4"/>
      <c r="H18" s="4"/>
      <c r="I18" s="7" t="str">
        <v>责任人</v>
      </c>
      <c r="J18" s="3"/>
      <c r="K18" s="3"/>
      <c r="L18" s="7" t="str">
        <v>未开始</v>
      </c>
      <c r="M18" s="3"/>
      <c r="N18" s="4"/>
      <c r="O18" s="4"/>
      <c r="P18" s="3"/>
      <c r="Q18" s="3"/>
    </row>
    <row customHeight="true" ht="22" r="19">
      <c r="A19" s="1">
        <f>$A18+1</f>
      </c>
      <c r="B19" s="5"/>
      <c r="C19" s="8" t="str">
        <v>用户端开发</v>
      </c>
      <c r="D19" s="10"/>
      <c r="E19" s="2"/>
      <c r="F19" s="13"/>
      <c r="G19" s="2"/>
      <c r="H19" s="2"/>
      <c r="I19" s="9" t="str">
        <v>责任人</v>
      </c>
      <c r="J19" s="11"/>
      <c r="K19" s="11"/>
      <c r="L19" s="9" t="str">
        <v>未开始</v>
      </c>
      <c r="M19" s="11"/>
      <c r="N19" s="2"/>
      <c r="O19" s="2"/>
      <c r="P19" s="11"/>
      <c r="Q19" s="11"/>
    </row>
    <row customHeight="true" ht="22" r="20">
      <c r="A20" s="1">
        <f>$A19+1</f>
      </c>
      <c r="B20" s="5"/>
      <c r="C20" s="8" t="str">
        <v>单元测试</v>
      </c>
      <c r="D20" s="16"/>
      <c r="E20" s="4"/>
      <c r="F20" s="6"/>
      <c r="G20" s="4"/>
      <c r="H20" s="4"/>
      <c r="I20" s="7" t="str">
        <v>责任人</v>
      </c>
      <c r="J20" s="3"/>
      <c r="K20" s="3"/>
      <c r="L20" s="7" t="str">
        <v>未开始</v>
      </c>
      <c r="M20" s="3"/>
      <c r="N20" s="4"/>
      <c r="O20" s="4"/>
      <c r="P20" s="3"/>
      <c r="Q20" s="3"/>
    </row>
    <row customHeight="true" ht="22" r="21">
      <c r="A21" s="1">
        <f>$A20+1</f>
      </c>
      <c r="B21" s="5"/>
      <c r="C21" s="8" t="str">
        <v>集成测试</v>
      </c>
      <c r="D21" s="10"/>
      <c r="E21" s="2"/>
      <c r="F21" s="13"/>
      <c r="G21" s="2"/>
      <c r="H21" s="2"/>
      <c r="I21" s="9" t="str">
        <v>责任人</v>
      </c>
      <c r="J21" s="11"/>
      <c r="K21" s="11"/>
      <c r="L21" s="9" t="str">
        <v>未开始</v>
      </c>
      <c r="M21" s="11"/>
      <c r="N21" s="2"/>
      <c r="O21" s="2"/>
      <c r="P21" s="11"/>
      <c r="Q21" s="11"/>
    </row>
    <row customHeight="true" ht="22" r="22">
      <c r="A22" s="1">
        <f>$A21+1</f>
      </c>
      <c r="B22" s="5"/>
      <c r="C22" s="8" t="str">
        <v>系统测试</v>
      </c>
      <c r="D22" s="16"/>
      <c r="E22" s="4"/>
      <c r="F22" s="6"/>
      <c r="G22" s="4"/>
      <c r="H22" s="4"/>
      <c r="I22" s="7" t="str">
        <v>顾总</v>
      </c>
      <c r="J22" s="3"/>
      <c r="K22" s="3"/>
      <c r="L22" s="3"/>
      <c r="M22" s="3"/>
      <c r="N22" s="4"/>
      <c r="O22" s="4"/>
      <c r="P22" s="3"/>
      <c r="Q22" s="3"/>
    </row>
    <row customHeight="true" ht="22" r="23">
      <c r="A23" s="1">
        <f>$A22+1</f>
      </c>
      <c r="B23" s="5"/>
      <c r="C23" s="8" t="str">
        <v>部署上线</v>
      </c>
      <c r="D23" s="10"/>
      <c r="E23" s="2"/>
      <c r="F23" s="13"/>
      <c r="G23" s="2"/>
      <c r="H23" s="2"/>
      <c r="I23" s="9" t="str">
        <v>责任人</v>
      </c>
      <c r="J23" s="11"/>
      <c r="K23" s="11"/>
      <c r="L23" s="9" t="str">
        <v>未开始</v>
      </c>
      <c r="M23" s="11"/>
      <c r="N23" s="2"/>
      <c r="O23" s="2"/>
      <c r="P23" s="11"/>
      <c r="Q23" s="11"/>
    </row>
    <row customHeight="true" ht="22" r="24">
      <c r="A24" s="1">
        <f>$A23+1</f>
      </c>
      <c r="B24" s="5"/>
      <c r="C24" s="8" t="str">
        <v>产品使用说明</v>
      </c>
      <c r="D24" s="16"/>
      <c r="E24" s="4"/>
      <c r="F24" s="6"/>
      <c r="G24" s="4"/>
      <c r="H24" s="4"/>
      <c r="I24" s="7" t="str">
        <v>责任人</v>
      </c>
      <c r="J24" s="3"/>
      <c r="K24" s="3"/>
      <c r="L24" s="7" t="str">
        <v>未开始</v>
      </c>
      <c r="M24" s="3"/>
      <c r="N24" s="4"/>
      <c r="O24" s="4"/>
      <c r="P24" s="3"/>
      <c r="Q24" s="3"/>
    </row>
    <row customHeight="true" ht="22" r="25">
      <c r="A25" s="1">
        <f>$A24+1</f>
      </c>
      <c r="B25" s="5"/>
      <c r="C25" s="8" t="str">
        <v>使用说明书</v>
      </c>
      <c r="D25" s="10"/>
      <c r="E25" s="2"/>
      <c r="F25" s="13"/>
      <c r="G25" s="2"/>
      <c r="H25" s="2"/>
      <c r="I25" s="9" t="str">
        <v>责任人</v>
      </c>
      <c r="J25" s="11"/>
      <c r="K25" s="11"/>
      <c r="L25" s="9" t="str">
        <v>未开始</v>
      </c>
      <c r="M25" s="11"/>
      <c r="N25" s="2"/>
      <c r="O25" s="2"/>
      <c r="P25" s="11"/>
      <c r="Q25" s="11"/>
    </row>
    <row customHeight="true" ht="22" r="26">
      <c r="A26" s="1">
        <f>$A25+1</f>
      </c>
      <c r="B26" s="14" t="str">
        <v>型检</v>
      </c>
      <c r="C26" s="8" t="str">
        <v>检验所选型</v>
      </c>
      <c r="D26" s="16"/>
      <c r="E26" s="4"/>
      <c r="F26" s="6"/>
      <c r="G26" s="4"/>
      <c r="H26" s="4"/>
      <c r="I26" s="7" t="str">
        <v>责任人</v>
      </c>
      <c r="J26" s="3"/>
      <c r="K26" s="3"/>
      <c r="L26" s="7" t="str">
        <v>未开始</v>
      </c>
      <c r="M26" s="3"/>
      <c r="N26" s="4"/>
      <c r="O26" s="4"/>
      <c r="P26" s="3"/>
      <c r="Q26" s="3"/>
    </row>
    <row customHeight="true" ht="22" r="27">
      <c r="A27" s="1">
        <f>$A25+1</f>
      </c>
      <c r="B27" s="5"/>
      <c r="C27" s="8" t="str">
        <v>材料准备</v>
      </c>
      <c r="D27" s="10"/>
      <c r="E27" s="2"/>
      <c r="F27" s="13"/>
      <c r="G27" s="2"/>
      <c r="H27" s="2"/>
      <c r="I27" s="9" t="str">
        <v>责任人</v>
      </c>
      <c r="J27" s="9" t="str">
        <v>1版</v>
      </c>
      <c r="K27" s="11"/>
      <c r="L27" s="9" t="str">
        <v>未开始</v>
      </c>
      <c r="M27" s="9"/>
      <c r="N27" s="2"/>
      <c r="O27" s="2"/>
      <c r="P27" s="11"/>
      <c r="Q27" s="11"/>
    </row>
    <row customHeight="true" ht="22" r="28">
      <c r="A28" s="1">
        <f>$A27+1</f>
      </c>
      <c r="B28" s="5"/>
      <c r="C28" s="8" t="str">
        <v>送检</v>
      </c>
      <c r="D28" s="16"/>
      <c r="E28" s="4"/>
      <c r="F28" s="6"/>
      <c r="G28" s="4"/>
      <c r="H28" s="4"/>
      <c r="I28" s="7" t="str">
        <v>责任人</v>
      </c>
      <c r="J28" s="7" t="str">
        <v>1版</v>
      </c>
      <c r="K28" s="33">
        <v>0.8</v>
      </c>
      <c r="L28" s="7" t="str">
        <v>未开始</v>
      </c>
      <c r="M28" s="7"/>
      <c r="N28" s="4"/>
      <c r="O28" s="4"/>
      <c r="P28" s="3"/>
      <c r="Q28" s="3"/>
    </row>
    <row customHeight="true" ht="25" r="29">
      <c r="A29" s="1">
        <f>$A28+1</f>
      </c>
      <c r="B29" s="5"/>
      <c r="C29" s="8" t="str">
        <v>下检报告跟踪</v>
      </c>
      <c r="D29" s="10"/>
      <c r="E29" s="2"/>
      <c r="F29" s="13"/>
      <c r="G29" s="2"/>
      <c r="H29" s="2"/>
      <c r="I29" s="9" t="str">
        <v>责任人</v>
      </c>
      <c r="J29" s="9" t="str">
        <v>1版</v>
      </c>
      <c r="K29" s="11"/>
      <c r="L29" s="9" t="str">
        <v>未开始</v>
      </c>
      <c r="M29" s="9"/>
      <c r="N29" s="12"/>
      <c r="O29" s="11"/>
      <c r="P29" s="11"/>
      <c r="Q29" s="11"/>
    </row>
    <row customHeight="true" ht="25" r="30">
      <c r="A30" s="1">
        <f>$A29+1</f>
      </c>
      <c r="B30" s="14" t="str">
        <v>器械对比</v>
      </c>
      <c r="C30" s="8" t="str">
        <v>对比器械确认</v>
      </c>
      <c r="D30" s="16"/>
      <c r="E30" s="4"/>
      <c r="F30" s="6"/>
      <c r="G30" s="4"/>
      <c r="H30" s="4"/>
      <c r="I30" s="7" t="str">
        <v>责任人</v>
      </c>
      <c r="J30" s="3"/>
      <c r="K30" s="3"/>
      <c r="L30" s="7" t="str">
        <v>未开始</v>
      </c>
      <c r="M30" s="7"/>
      <c r="N30" s="17"/>
      <c r="O30" s="3"/>
      <c r="P30" s="3"/>
      <c r="Q30" s="3"/>
    </row>
    <row customHeight="true" ht="25" r="31">
      <c r="A31" s="1">
        <f>$A30+1</f>
      </c>
      <c r="B31" s="5"/>
      <c r="C31" s="8" t="str">
        <v>软件对比报告</v>
      </c>
      <c r="D31" s="10"/>
      <c r="E31" s="2"/>
      <c r="F31" s="13"/>
      <c r="G31" s="2"/>
      <c r="H31" s="2"/>
      <c r="I31" s="9" t="str">
        <v>责任人</v>
      </c>
      <c r="J31" s="11"/>
      <c r="K31" s="11"/>
      <c r="L31" s="9" t="str">
        <v>未开始</v>
      </c>
      <c r="M31" s="9"/>
      <c r="N31" s="12"/>
      <c r="O31" s="11"/>
      <c r="P31" s="11"/>
      <c r="Q31" s="11"/>
    </row>
    <row customHeight="true" ht="25" r="32">
      <c r="A32" s="1">
        <f>$A31+1</f>
      </c>
      <c r="B32" s="14" t="str">
        <v>（技术材料）填报材料</v>
      </c>
      <c r="C32" s="8" t="str">
        <v>申报产品说明书和对比产品说明书</v>
      </c>
      <c r="D32" s="16"/>
      <c r="E32" s="4"/>
      <c r="F32" s="6"/>
      <c r="G32" s="4"/>
      <c r="H32" s="4"/>
      <c r="I32" s="7" t="str">
        <v>责任人</v>
      </c>
      <c r="J32" s="3"/>
      <c r="K32" s="3"/>
      <c r="L32" s="7" t="str">
        <v>未开始</v>
      </c>
      <c r="M32" s="3"/>
      <c r="N32" s="17"/>
      <c r="O32" s="3"/>
      <c r="P32" s="3"/>
      <c r="Q32" s="3"/>
    </row>
    <row customHeight="true" ht="25" r="33">
      <c r="A33" s="1">
        <f>$A32+1</f>
      </c>
      <c r="B33" s="5"/>
      <c r="C33" s="8" t="str">
        <v>拟申报产品技术要求</v>
      </c>
      <c r="D33" s="10"/>
      <c r="E33" s="2"/>
      <c r="F33" s="13"/>
      <c r="G33" s="2"/>
      <c r="H33" s="2"/>
      <c r="I33" s="9" t="str">
        <v>责任人</v>
      </c>
      <c r="J33" s="11"/>
      <c r="K33" s="11"/>
      <c r="L33" s="9" t="str">
        <v>未开始</v>
      </c>
      <c r="M33" s="11"/>
      <c r="N33" s="12"/>
      <c r="O33" s="11"/>
      <c r="P33" s="11"/>
      <c r="Q33" s="11"/>
    </row>
    <row customHeight="true" ht="25" r="34">
      <c r="A34" s="1">
        <f>$A33+1</f>
      </c>
      <c r="B34" s="5"/>
      <c r="C34" s="8" t="str">
        <v>产品结构图</v>
      </c>
      <c r="D34" s="16"/>
      <c r="E34" s="4"/>
      <c r="F34" s="6"/>
      <c r="G34" s="4"/>
      <c r="H34" s="4"/>
      <c r="I34" s="7" t="str">
        <v>责任人</v>
      </c>
      <c r="J34" s="3"/>
      <c r="K34" s="3"/>
      <c r="L34" s="7" t="str">
        <v>未开始</v>
      </c>
      <c r="M34" s="3"/>
      <c r="N34" s="17"/>
      <c r="O34" s="3"/>
      <c r="P34" s="3"/>
      <c r="Q34" s="3"/>
    </row>
    <row customHeight="true" ht="25" r="35">
      <c r="A35" s="1">
        <f>$A34+1</f>
      </c>
      <c r="B35" s="5"/>
      <c r="C35" s="8" t="str">
        <v>不同规格间差异描述</v>
      </c>
      <c r="D35" s="10"/>
      <c r="E35" s="2"/>
      <c r="F35" s="13"/>
      <c r="G35" s="2"/>
      <c r="H35" s="2"/>
      <c r="I35" s="9" t="str">
        <v>责任人</v>
      </c>
      <c r="J35" s="11"/>
      <c r="K35" s="11"/>
      <c r="L35" s="9" t="str">
        <v>未开始</v>
      </c>
      <c r="M35" s="11"/>
      <c r="N35" s="12"/>
      <c r="O35" s="11"/>
      <c r="P35" s="11"/>
      <c r="Q35" s="11"/>
    </row>
    <row customHeight="true" ht="25" r="36">
      <c r="A36" s="1">
        <f>$A35+1</f>
      </c>
      <c r="B36" s="5"/>
      <c r="C36" s="8" t="str">
        <v>包装描述及图示、包装形式</v>
      </c>
      <c r="D36" s="16"/>
      <c r="E36" s="4"/>
      <c r="F36" s="6"/>
      <c r="G36" s="4"/>
      <c r="H36" s="4"/>
      <c r="I36" s="7" t="str">
        <v>责任人</v>
      </c>
      <c r="J36" s="3"/>
      <c r="K36" s="3"/>
      <c r="L36" s="7" t="str">
        <v>未开始</v>
      </c>
      <c r="M36" s="3"/>
      <c r="N36" s="17"/>
      <c r="O36" s="3"/>
      <c r="P36" s="3"/>
      <c r="Q36" s="3"/>
    </row>
    <row customHeight="true" ht="25" r="37">
      <c r="A37" s="1">
        <f>$A36+1</f>
      </c>
      <c r="B37" s="5"/>
      <c r="C37" s="8" t="str">
        <v>产品检验报告</v>
      </c>
      <c r="D37" s="10"/>
      <c r="E37" s="2"/>
      <c r="F37" s="13"/>
      <c r="G37" s="2"/>
      <c r="H37" s="2"/>
      <c r="I37" s="9" t="str">
        <v>责任人</v>
      </c>
      <c r="J37" s="11"/>
      <c r="K37" s="11"/>
      <c r="L37" s="9" t="str">
        <v>未开始</v>
      </c>
      <c r="M37" s="11"/>
      <c r="N37" s="12"/>
      <c r="O37" s="11"/>
      <c r="P37" s="11"/>
      <c r="Q37" s="11"/>
    </row>
    <row customHeight="true" ht="25" r="38">
      <c r="A38" s="1">
        <f>$A37+1</f>
      </c>
      <c r="B38" s="5"/>
      <c r="C38" s="8" t="str">
        <v>与同类产品的比较</v>
      </c>
      <c r="D38" s="16"/>
      <c r="E38" s="4"/>
      <c r="F38" s="6"/>
      <c r="G38" s="4"/>
      <c r="H38" s="4"/>
      <c r="I38" s="7" t="str">
        <v>责任人</v>
      </c>
      <c r="J38" s="3"/>
      <c r="K38" s="3"/>
      <c r="L38" s="7" t="str">
        <v>未开始</v>
      </c>
      <c r="M38" s="3"/>
      <c r="N38" s="17"/>
      <c r="O38" s="3"/>
      <c r="P38" s="3"/>
      <c r="Q38" s="3"/>
    </row>
    <row customHeight="true" ht="35" r="39">
      <c r="A39" s="1">
        <f>$A38+1</f>
      </c>
      <c r="B39" s="5"/>
      <c r="C39" s="8" t="str">
        <v>联合使用实现预期用途的其他产品信息</v>
      </c>
      <c r="D39" s="10"/>
      <c r="E39" s="2"/>
      <c r="F39" s="13"/>
      <c r="G39" s="2"/>
      <c r="H39" s="2"/>
      <c r="I39" s="9" t="str">
        <v>责任人</v>
      </c>
      <c r="J39" s="11"/>
      <c r="K39" s="11"/>
      <c r="L39" s="9" t="str">
        <v>未开始</v>
      </c>
      <c r="M39" s="11"/>
      <c r="N39" s="12"/>
      <c r="O39" s="11"/>
      <c r="P39" s="11"/>
      <c r="Q39" s="11"/>
    </row>
    <row customHeight="true" ht="25" r="40">
      <c r="A40" s="1">
        <f>$A39+1</f>
      </c>
      <c r="B40" s="5"/>
      <c r="C40" s="8" t="str">
        <v>软件研究报告</v>
      </c>
      <c r="D40" s="16"/>
      <c r="E40" s="4"/>
      <c r="F40" s="6"/>
      <c r="G40" s="4"/>
      <c r="H40" s="4"/>
      <c r="I40" s="7" t="str">
        <v>责任人</v>
      </c>
      <c r="J40" s="3"/>
      <c r="K40" s="3"/>
      <c r="L40" s="7" t="str">
        <v>未开始</v>
      </c>
      <c r="M40" s="3"/>
      <c r="N40" s="17"/>
      <c r="O40" s="3"/>
      <c r="P40" s="3"/>
      <c r="Q40" s="3"/>
    </row>
    <row customHeight="true" ht="25" r="41">
      <c r="A41" s="1">
        <f>$A40+1</f>
      </c>
      <c r="B41" s="5"/>
      <c r="C41" s="8" t="str">
        <v>外部软件环境评估报告</v>
      </c>
      <c r="D41" s="10"/>
      <c r="E41" s="2"/>
      <c r="F41" s="13"/>
      <c r="G41" s="2"/>
      <c r="H41" s="2"/>
      <c r="I41" s="9" t="str">
        <v>责任人</v>
      </c>
      <c r="J41" s="11"/>
      <c r="K41" s="11"/>
      <c r="L41" s="9" t="str">
        <v>未开始</v>
      </c>
      <c r="M41" s="11"/>
      <c r="N41" s="12"/>
      <c r="O41" s="11"/>
      <c r="P41" s="11"/>
      <c r="Q41" s="11"/>
    </row>
    <row customHeight="true" ht="25" r="42">
      <c r="A42" s="1">
        <f>$A41+1</f>
      </c>
      <c r="B42" s="5"/>
      <c r="C42" s="8" t="str">
        <v>网络安全研究报告</v>
      </c>
      <c r="D42" s="16"/>
      <c r="E42" s="4"/>
      <c r="F42" s="6"/>
      <c r="G42" s="4"/>
      <c r="H42" s="4"/>
      <c r="I42" s="7" t="str">
        <v>责任人</v>
      </c>
      <c r="J42" s="3"/>
      <c r="K42" s="3"/>
      <c r="L42" s="7" t="str">
        <v>未开始</v>
      </c>
      <c r="M42" s="3"/>
      <c r="N42" s="17"/>
      <c r="O42" s="3"/>
      <c r="P42" s="3"/>
      <c r="Q42" s="3"/>
    </row>
    <row customHeight="true" ht="25" r="43">
      <c r="A43" s="1">
        <f>$A42+1</f>
      </c>
      <c r="B43" s="5"/>
      <c r="C43" s="8" t="str">
        <v>互操作性研究资料</v>
      </c>
      <c r="D43" s="10"/>
      <c r="E43" s="2"/>
      <c r="F43" s="13"/>
      <c r="G43" s="2"/>
      <c r="H43" s="2"/>
      <c r="I43" s="9" t="str">
        <v>责任人</v>
      </c>
      <c r="J43" s="11"/>
      <c r="K43" s="11"/>
      <c r="L43" s="9" t="str">
        <v>未开始</v>
      </c>
      <c r="M43" s="11"/>
      <c r="N43" s="12"/>
      <c r="O43" s="11"/>
      <c r="P43" s="11"/>
      <c r="Q43" s="11"/>
    </row>
    <row customHeight="true" ht="25" r="44">
      <c r="A44" s="1">
        <f>$A43+1</f>
      </c>
      <c r="B44" s="5"/>
      <c r="C44" s="8" t="str">
        <v>生产工艺流程图</v>
      </c>
      <c r="D44" s="16"/>
      <c r="E44" s="4"/>
      <c r="F44" s="6"/>
      <c r="G44" s="4"/>
      <c r="H44" s="4"/>
      <c r="I44" s="7" t="str">
        <v>责任人</v>
      </c>
      <c r="J44" s="3"/>
      <c r="K44" s="3"/>
      <c r="L44" s="7" t="str">
        <v>未开始</v>
      </c>
      <c r="M44" s="3"/>
      <c r="N44" s="17"/>
      <c r="O44" s="3"/>
      <c r="P44" s="3"/>
      <c r="Q44" s="3"/>
    </row>
    <row customHeight="true" ht="25" r="45">
      <c r="A45" s="1">
        <f>$A44+1</f>
      </c>
      <c r="B45" s="14" t="str">
        <v>体系材料</v>
      </c>
      <c r="C45" s="8" t="str">
        <v>质量手册</v>
      </c>
      <c r="D45" s="10"/>
      <c r="E45" s="2"/>
      <c r="F45" s="13"/>
      <c r="G45" s="2"/>
      <c r="H45" s="2"/>
      <c r="I45" s="9" t="str">
        <v>责任人</v>
      </c>
      <c r="J45" s="11"/>
      <c r="K45" s="11"/>
      <c r="L45" s="9" t="str">
        <v>未开始</v>
      </c>
      <c r="M45" s="11"/>
      <c r="N45" s="12"/>
      <c r="O45" s="11"/>
      <c r="P45" s="11"/>
      <c r="Q45" s="11"/>
    </row>
    <row customHeight="true" ht="25" r="46">
      <c r="A46" s="1">
        <f>$A45+1</f>
      </c>
      <c r="B46" s="5"/>
      <c r="C46" s="8" t="str">
        <v>体系软件控制程序</v>
      </c>
      <c r="D46" s="16"/>
      <c r="E46" s="4"/>
      <c r="F46" s="6"/>
      <c r="G46" s="4"/>
      <c r="H46" s="4"/>
      <c r="I46" s="7" t="str">
        <v>责任人</v>
      </c>
      <c r="J46" s="3"/>
      <c r="K46" s="3"/>
      <c r="L46" s="7" t="str">
        <v>未开始</v>
      </c>
      <c r="M46" s="3"/>
      <c r="N46" s="17"/>
      <c r="O46" s="3"/>
      <c r="P46" s="3"/>
      <c r="Q46" s="3"/>
    </row>
    <row customHeight="true" ht="25" r="47">
      <c r="A47" s="1">
        <f>$A46+1</f>
      </c>
      <c r="B47" s="5"/>
      <c r="C47" s="8" t="str">
        <v>文件控制程序</v>
      </c>
      <c r="D47" s="10"/>
      <c r="E47" s="2"/>
      <c r="F47" s="13"/>
      <c r="G47" s="2"/>
      <c r="H47" s="2"/>
      <c r="I47" s="9" t="str">
        <v>责任人</v>
      </c>
      <c r="J47" s="11"/>
      <c r="K47" s="11"/>
      <c r="L47" s="9" t="str">
        <v>未开始</v>
      </c>
      <c r="M47" s="11"/>
      <c r="N47" s="12"/>
      <c r="O47" s="11"/>
      <c r="P47" s="11"/>
      <c r="Q47" s="11"/>
    </row>
    <row customHeight="true" ht="25" r="48">
      <c r="A48" s="1">
        <f>$A47+1</f>
      </c>
      <c r="B48" s="5"/>
      <c r="C48" s="8" t="str">
        <v>记录控制程序</v>
      </c>
      <c r="D48" s="16"/>
      <c r="E48" s="4"/>
      <c r="F48" s="6"/>
      <c r="G48" s="4"/>
      <c r="H48" s="4"/>
      <c r="I48" s="7" t="str">
        <v>责任人</v>
      </c>
      <c r="J48" s="3"/>
      <c r="K48" s="3"/>
      <c r="L48" s="7" t="str">
        <v>未开始</v>
      </c>
      <c r="M48" s="3"/>
      <c r="N48" s="17"/>
      <c r="O48" s="3"/>
      <c r="P48" s="3"/>
      <c r="Q48" s="3"/>
    </row>
    <row customHeight="true" ht="25" r="49">
      <c r="A49" s="1">
        <f>$A48+1</f>
      </c>
      <c r="B49" s="5"/>
      <c r="C49" s="8" t="str">
        <v>职责和权限控制程序</v>
      </c>
      <c r="D49" s="10"/>
      <c r="E49" s="2"/>
      <c r="F49" s="13"/>
      <c r="G49" s="2"/>
      <c r="H49" s="2"/>
      <c r="I49" s="9" t="str">
        <v>责任人</v>
      </c>
      <c r="J49" s="11"/>
      <c r="K49" s="11"/>
      <c r="L49" s="9" t="str">
        <v>未开始</v>
      </c>
      <c r="M49" s="11"/>
      <c r="N49" s="12"/>
      <c r="O49" s="11"/>
      <c r="P49" s="11"/>
      <c r="Q49" s="11"/>
    </row>
    <row customHeight="true" ht="25" r="50">
      <c r="A50" s="1">
        <f>$A49+1</f>
      </c>
      <c r="B50" s="5"/>
      <c r="C50" s="8" t="str">
        <v>内部沟通控制程序</v>
      </c>
      <c r="D50" s="16"/>
      <c r="E50" s="4"/>
      <c r="F50" s="6"/>
      <c r="G50" s="4"/>
      <c r="H50" s="4"/>
      <c r="I50" s="7" t="str">
        <v>责任人</v>
      </c>
      <c r="J50" s="3"/>
      <c r="K50" s="3"/>
      <c r="L50" s="7" t="str">
        <v>未开始</v>
      </c>
      <c r="M50" s="3"/>
      <c r="N50" s="17"/>
      <c r="O50" s="3"/>
      <c r="P50" s="3"/>
      <c r="Q50" s="3"/>
    </row>
    <row customHeight="true" ht="25" r="51">
      <c r="A51" s="1">
        <f>$A50+1</f>
      </c>
      <c r="B51" s="5"/>
      <c r="C51" s="8" t="str">
        <v>管理评审控制程序</v>
      </c>
      <c r="D51" s="10"/>
      <c r="E51" s="2"/>
      <c r="F51" s="13"/>
      <c r="G51" s="2"/>
      <c r="H51" s="2"/>
      <c r="I51" s="9" t="str">
        <v>责任人</v>
      </c>
      <c r="J51" s="11"/>
      <c r="K51" s="11"/>
      <c r="L51" s="9" t="str">
        <v>未开始</v>
      </c>
      <c r="M51" s="11"/>
      <c r="N51" s="12"/>
      <c r="O51" s="11"/>
      <c r="P51" s="11"/>
      <c r="Q51" s="11"/>
    </row>
    <row customHeight="true" ht="25" r="52">
      <c r="A52" s="1">
        <f>$A51+1</f>
      </c>
      <c r="B52" s="5"/>
      <c r="C52" s="8" t="str">
        <v>人力资源控制程序</v>
      </c>
      <c r="D52" s="16"/>
      <c r="E52" s="4"/>
      <c r="F52" s="6"/>
      <c r="G52" s="4"/>
      <c r="H52" s="4"/>
      <c r="I52" s="7" t="str">
        <v>责任人</v>
      </c>
      <c r="J52" s="3"/>
      <c r="K52" s="3"/>
      <c r="L52" s="7" t="str">
        <v>未开始</v>
      </c>
      <c r="M52" s="3"/>
      <c r="N52" s="17"/>
      <c r="O52" s="3"/>
      <c r="P52" s="3"/>
      <c r="Q52" s="3"/>
    </row>
    <row customHeight="true" ht="25" r="53">
      <c r="A53" s="1">
        <f>$A52+1</f>
      </c>
      <c r="B53" s="5"/>
      <c r="C53" s="8" t="str">
        <v>基础设施控制程序</v>
      </c>
      <c r="D53" s="10"/>
      <c r="E53" s="2"/>
      <c r="F53" s="13"/>
      <c r="G53" s="2"/>
      <c r="H53" s="2"/>
      <c r="I53" s="9" t="str">
        <v>责任人</v>
      </c>
      <c r="J53" s="11"/>
      <c r="K53" s="11"/>
      <c r="L53" s="9" t="str">
        <v>未开始</v>
      </c>
      <c r="M53" s="11"/>
      <c r="N53" s="12"/>
      <c r="O53" s="11"/>
      <c r="P53" s="11"/>
      <c r="Q53" s="11"/>
    </row>
    <row customHeight="true" ht="25" r="54">
      <c r="A54" s="1">
        <f>$A53+1</f>
      </c>
      <c r="B54" s="5"/>
      <c r="C54" s="8" t="str">
        <v>工作环境和污染控制程序</v>
      </c>
      <c r="D54" s="16"/>
      <c r="E54" s="4"/>
      <c r="F54" s="6"/>
      <c r="G54" s="4"/>
      <c r="H54" s="4"/>
      <c r="I54" s="7" t="str">
        <v>责任人</v>
      </c>
      <c r="J54" s="3"/>
      <c r="K54" s="3"/>
      <c r="L54" s="7" t="str">
        <v>未开始</v>
      </c>
      <c r="M54" s="3"/>
      <c r="N54" s="17"/>
      <c r="O54" s="3"/>
      <c r="P54" s="3"/>
      <c r="Q54" s="3"/>
    </row>
    <row customHeight="true" ht="25" r="55">
      <c r="A55" s="1">
        <f>$A54+1</f>
      </c>
      <c r="B55" s="5"/>
      <c r="C55" s="8" t="str">
        <v>风险管理控制程序</v>
      </c>
      <c r="D55" s="10"/>
      <c r="E55" s="2"/>
      <c r="F55" s="13"/>
      <c r="G55" s="2"/>
      <c r="H55" s="2"/>
      <c r="I55" s="9" t="str">
        <v>责任人</v>
      </c>
      <c r="J55" s="11"/>
      <c r="K55" s="11"/>
      <c r="L55" s="9" t="str">
        <v>未开始</v>
      </c>
      <c r="M55" s="11"/>
      <c r="N55" s="12"/>
      <c r="O55" s="11"/>
      <c r="P55" s="11"/>
      <c r="Q55" s="11"/>
    </row>
    <row customHeight="true" ht="25" r="56">
      <c r="A56" s="1">
        <f>$A55+1</f>
      </c>
      <c r="B56" s="5"/>
      <c r="C56" s="8" t="str">
        <v>与顾客有关的过程控制程序</v>
      </c>
      <c r="D56" s="16"/>
      <c r="E56" s="4"/>
      <c r="F56" s="6"/>
      <c r="G56" s="4"/>
      <c r="H56" s="4"/>
      <c r="I56" s="7" t="str">
        <v>责任人</v>
      </c>
      <c r="J56" s="3"/>
      <c r="K56" s="3"/>
      <c r="L56" s="7" t="str">
        <v>未开始</v>
      </c>
      <c r="M56" s="3"/>
      <c r="N56" s="17"/>
      <c r="O56" s="3"/>
      <c r="P56" s="3"/>
      <c r="Q56" s="3"/>
    </row>
    <row customHeight="true" ht="25" r="57">
      <c r="A57" s="1">
        <f>$A56+1</f>
      </c>
      <c r="B57" s="5"/>
      <c r="C57" s="8" t="str">
        <v>设计和开发控制程序</v>
      </c>
      <c r="D57" s="10"/>
      <c r="E57" s="2"/>
      <c r="F57" s="13"/>
      <c r="G57" s="2"/>
      <c r="H57" s="2"/>
      <c r="I57" s="9" t="str">
        <v>责任人</v>
      </c>
      <c r="J57" s="11"/>
      <c r="K57" s="11"/>
      <c r="L57" s="9" t="str">
        <v>未开始</v>
      </c>
      <c r="M57" s="11"/>
      <c r="N57" s="12"/>
      <c r="O57" s="11"/>
      <c r="P57" s="11"/>
      <c r="Q57" s="11"/>
    </row>
    <row customHeight="true" ht="25" r="58">
      <c r="A58" s="1">
        <f>$A57+1</f>
      </c>
      <c r="B58" s="5"/>
      <c r="C58" s="8" t="str">
        <v>采购控制程序</v>
      </c>
      <c r="D58" s="16"/>
      <c r="E58" s="4"/>
      <c r="F58" s="6"/>
      <c r="G58" s="4"/>
      <c r="H58" s="4"/>
      <c r="I58" s="7" t="str">
        <v>责任人</v>
      </c>
      <c r="J58" s="3"/>
      <c r="K58" s="3"/>
      <c r="L58" s="7" t="str">
        <v>未开始</v>
      </c>
      <c r="M58" s="3"/>
      <c r="N58" s="17"/>
      <c r="O58" s="3"/>
      <c r="P58" s="3"/>
      <c r="Q58" s="3"/>
    </row>
    <row customHeight="true" ht="25" r="59">
      <c r="A59" s="1">
        <f>$A58+1</f>
      </c>
      <c r="B59" s="5"/>
      <c r="C59" s="8" t="str">
        <v>生产和服务提供控制程序</v>
      </c>
      <c r="D59" s="10"/>
      <c r="E59" s="2"/>
      <c r="F59" s="13"/>
      <c r="G59" s="2"/>
      <c r="H59" s="2"/>
      <c r="I59" s="9" t="str">
        <v>责任人</v>
      </c>
      <c r="J59" s="11"/>
      <c r="K59" s="11"/>
      <c r="L59" s="9" t="str">
        <v>未开始</v>
      </c>
      <c r="M59" s="11"/>
      <c r="N59" s="12"/>
      <c r="O59" s="11"/>
      <c r="P59" s="11"/>
      <c r="Q59" s="11"/>
    </row>
    <row customHeight="true" ht="25" r="60">
      <c r="A60" s="1">
        <f>$A59+1</f>
      </c>
      <c r="B60" s="5"/>
      <c r="C60" s="8" t="str">
        <v>服务活动控制程序</v>
      </c>
      <c r="D60" s="16"/>
      <c r="E60" s="4"/>
      <c r="F60" s="6"/>
      <c r="G60" s="4"/>
      <c r="H60" s="4"/>
      <c r="I60" s="7" t="str">
        <v>责任人</v>
      </c>
      <c r="J60" s="3"/>
      <c r="K60" s="3"/>
      <c r="L60" s="7" t="str">
        <v>未开始</v>
      </c>
      <c r="M60" s="3"/>
      <c r="N60" s="17"/>
      <c r="O60" s="3"/>
      <c r="P60" s="3"/>
      <c r="Q60" s="3"/>
    </row>
    <row customHeight="true" ht="25" r="61">
      <c r="A61" s="1">
        <f>$A60+1</f>
      </c>
      <c r="B61" s="5"/>
      <c r="C61" s="8" t="str">
        <v>生产和服务提供过程确认控制程序</v>
      </c>
      <c r="D61" s="10"/>
      <c r="E61" s="2"/>
      <c r="F61" s="13"/>
      <c r="G61" s="2"/>
      <c r="H61" s="2"/>
      <c r="I61" s="9" t="str">
        <v>责任人</v>
      </c>
      <c r="J61" s="11"/>
      <c r="K61" s="11"/>
      <c r="L61" s="9" t="str">
        <v>未开始</v>
      </c>
      <c r="M61" s="11"/>
      <c r="N61" s="12"/>
      <c r="O61" s="11"/>
      <c r="P61" s="11"/>
      <c r="Q61" s="11"/>
    </row>
    <row customHeight="true" ht="25" r="62">
      <c r="A62" s="1">
        <f>$A61+1</f>
      </c>
      <c r="B62" s="5"/>
      <c r="C62" s="8" t="str">
        <v>标识和可追溯性控制程序</v>
      </c>
      <c r="D62" s="16"/>
      <c r="E62" s="4"/>
      <c r="F62" s="6"/>
      <c r="G62" s="4"/>
      <c r="H62" s="4"/>
      <c r="I62" s="7" t="str">
        <v>责任人</v>
      </c>
      <c r="J62" s="3"/>
      <c r="K62" s="3"/>
      <c r="L62" s="7" t="str">
        <v>未开始</v>
      </c>
      <c r="M62" s="3"/>
      <c r="N62" s="17"/>
      <c r="O62" s="3"/>
      <c r="P62" s="3"/>
      <c r="Q62" s="3"/>
    </row>
    <row customHeight="true" ht="25" r="63">
      <c r="A63" s="1">
        <f>$A62+1</f>
      </c>
      <c r="B63" s="5"/>
      <c r="C63" s="8" t="str">
        <v>产品防护控制程序</v>
      </c>
      <c r="D63" s="10"/>
      <c r="E63" s="2"/>
      <c r="F63" s="13"/>
      <c r="G63" s="2"/>
      <c r="H63" s="2"/>
      <c r="I63" s="9" t="str">
        <v>责任人</v>
      </c>
      <c r="J63" s="11"/>
      <c r="K63" s="11"/>
      <c r="L63" s="9" t="str">
        <v>未开始</v>
      </c>
      <c r="M63" s="11"/>
      <c r="N63" s="12"/>
      <c r="O63" s="11"/>
      <c r="P63" s="11"/>
      <c r="Q63" s="11"/>
    </row>
    <row customHeight="true" ht="25" r="64">
      <c r="A64" s="1">
        <f>$A63+1</f>
      </c>
      <c r="B64" s="5"/>
      <c r="C64" s="8" t="str">
        <v>监视和测量设备控制程序</v>
      </c>
      <c r="D64" s="16"/>
      <c r="E64" s="4"/>
      <c r="F64" s="6"/>
      <c r="G64" s="4"/>
      <c r="H64" s="4"/>
      <c r="I64" s="7" t="str">
        <v>责任人</v>
      </c>
      <c r="J64" s="3"/>
      <c r="K64" s="3"/>
      <c r="L64" s="7" t="str">
        <v>未开始</v>
      </c>
      <c r="M64" s="3"/>
      <c r="N64" s="17"/>
      <c r="O64" s="3"/>
      <c r="P64" s="3"/>
      <c r="Q64" s="3"/>
    </row>
    <row customHeight="true" ht="25" r="65">
      <c r="A65" s="1">
        <f>$A64+1</f>
      </c>
      <c r="B65" s="5"/>
      <c r="C65" s="8" t="str">
        <v>反馈系统控制程序</v>
      </c>
      <c r="D65" s="10"/>
      <c r="E65" s="2"/>
      <c r="F65" s="13"/>
      <c r="G65" s="2"/>
      <c r="H65" s="2"/>
      <c r="I65" s="9" t="str">
        <v>责任人</v>
      </c>
      <c r="J65" s="11"/>
      <c r="K65" s="11"/>
      <c r="L65" s="9" t="str">
        <v>未开始</v>
      </c>
      <c r="M65" s="11"/>
      <c r="N65" s="12"/>
      <c r="O65" s="11"/>
      <c r="P65" s="11"/>
      <c r="Q65" s="11"/>
    </row>
    <row customHeight="true" ht="25" r="66">
      <c r="A66" s="1">
        <f>$A65+1</f>
      </c>
      <c r="B66" s="5"/>
      <c r="C66" s="8" t="str">
        <v>投诉处置控制程序</v>
      </c>
      <c r="D66" s="16"/>
      <c r="E66" s="4"/>
      <c r="F66" s="6"/>
      <c r="G66" s="4"/>
      <c r="H66" s="4"/>
      <c r="I66" s="7" t="str">
        <v>责任人</v>
      </c>
      <c r="J66" s="3"/>
      <c r="K66" s="3"/>
      <c r="L66" s="7" t="str">
        <v>未开始</v>
      </c>
      <c r="M66" s="3"/>
      <c r="N66" s="17"/>
      <c r="O66" s="3"/>
      <c r="P66" s="3"/>
      <c r="Q66" s="3"/>
    </row>
    <row customHeight="true" ht="25" r="67">
      <c r="A67" s="1">
        <f>$A66+1</f>
      </c>
      <c r="B67" s="5"/>
      <c r="C67" s="8" t="str">
        <v>内部审核控制程序</v>
      </c>
      <c r="D67" s="10"/>
      <c r="E67" s="2"/>
      <c r="F67" s="13"/>
      <c r="G67" s="2"/>
      <c r="H67" s="2"/>
      <c r="I67" s="9" t="str">
        <v>责任人</v>
      </c>
      <c r="J67" s="11"/>
      <c r="K67" s="11"/>
      <c r="L67" s="9" t="str">
        <v>未开始</v>
      </c>
      <c r="M67" s="11"/>
      <c r="N67" s="12"/>
      <c r="O67" s="11"/>
      <c r="P67" s="11"/>
      <c r="Q67" s="11"/>
    </row>
    <row customHeight="true" ht="25" r="68">
      <c r="A68" s="1">
        <f>$A67+1</f>
      </c>
      <c r="B68" s="5"/>
      <c r="C68" s="8" t="str">
        <v>产品监视和测量控制程序</v>
      </c>
      <c r="D68" s="16"/>
      <c r="E68" s="4"/>
      <c r="F68" s="6"/>
      <c r="G68" s="4"/>
      <c r="H68" s="4"/>
      <c r="I68" s="7" t="str">
        <v>责任人</v>
      </c>
      <c r="J68" s="3"/>
      <c r="K68" s="3"/>
      <c r="L68" s="7" t="str">
        <v>未开始</v>
      </c>
      <c r="M68" s="3"/>
      <c r="N68" s="17"/>
      <c r="O68" s="3"/>
      <c r="P68" s="3"/>
      <c r="Q68" s="3"/>
    </row>
    <row customHeight="true" ht="25" r="69">
      <c r="A69" s="1">
        <f>$A68+1</f>
      </c>
      <c r="B69" s="5"/>
      <c r="C69" s="8" t="str">
        <v>不合格品控制程序</v>
      </c>
      <c r="D69" s="10"/>
      <c r="E69" s="2"/>
      <c r="F69" s="13"/>
      <c r="G69" s="2"/>
      <c r="H69" s="2"/>
      <c r="I69" s="9" t="str">
        <v>责任人</v>
      </c>
      <c r="J69" s="11"/>
      <c r="K69" s="11"/>
      <c r="L69" s="9" t="str">
        <v>未开始</v>
      </c>
      <c r="M69" s="11"/>
      <c r="N69" s="12"/>
      <c r="O69" s="11"/>
      <c r="P69" s="11"/>
      <c r="Q69" s="11"/>
    </row>
    <row customHeight="true" ht="25" r="70">
      <c r="A70" s="1">
        <f>$A69+1</f>
      </c>
      <c r="B70" s="5"/>
      <c r="C70" s="8" t="str">
        <v>数据分析控制程序</v>
      </c>
      <c r="D70" s="16"/>
      <c r="E70" s="4"/>
      <c r="F70" s="6"/>
      <c r="G70" s="4"/>
      <c r="H70" s="4"/>
      <c r="I70" s="7" t="str">
        <v>责任人</v>
      </c>
      <c r="J70" s="3"/>
      <c r="K70" s="3"/>
      <c r="L70" s="7" t="str">
        <v>未开始</v>
      </c>
      <c r="M70" s="3"/>
      <c r="N70" s="17"/>
      <c r="O70" s="3"/>
      <c r="P70" s="3"/>
      <c r="Q70" s="3"/>
    </row>
    <row customHeight="true" ht="25" r="71">
      <c r="A71" s="1">
        <f>$A70+1</f>
      </c>
      <c r="B71" s="5"/>
      <c r="C71" s="8" t="str">
        <v>纠正和预防措施控制程序</v>
      </c>
      <c r="D71" s="10"/>
      <c r="E71" s="2"/>
      <c r="F71" s="13"/>
      <c r="G71" s="2"/>
      <c r="H71" s="2"/>
      <c r="I71" s="9" t="str">
        <v>责任人</v>
      </c>
      <c r="J71" s="11"/>
      <c r="K71" s="11"/>
      <c r="L71" s="9" t="str">
        <v>未开始</v>
      </c>
      <c r="M71" s="11"/>
      <c r="N71" s="12"/>
      <c r="O71" s="11"/>
      <c r="P71" s="11"/>
      <c r="Q71" s="11"/>
    </row>
    <row customHeight="true" ht="25" r="72">
      <c r="A72" s="1">
        <f>$A71+1</f>
      </c>
      <c r="B72" s="5"/>
      <c r="C72" s="8" t="str">
        <v>质量控制程序</v>
      </c>
      <c r="D72" s="16"/>
      <c r="E72" s="4"/>
      <c r="F72" s="6"/>
      <c r="G72" s="4"/>
      <c r="H72" s="4"/>
      <c r="I72" s="7" t="str">
        <v>责任人</v>
      </c>
      <c r="J72" s="3"/>
      <c r="K72" s="3"/>
      <c r="L72" s="7" t="str">
        <v>未开始</v>
      </c>
      <c r="M72" s="3"/>
      <c r="N72" s="17"/>
      <c r="O72" s="3"/>
      <c r="P72" s="3"/>
      <c r="Q72" s="3"/>
    </row>
    <row customHeight="true" ht="25" r="73">
      <c r="A73" s="1">
        <f>$A72+1</f>
      </c>
      <c r="B73" s="5"/>
      <c r="C73" s="8" t="str">
        <v>向监管机构报告控制程序</v>
      </c>
      <c r="D73" s="10"/>
      <c r="E73" s="2"/>
      <c r="F73" s="13"/>
      <c r="G73" s="2"/>
      <c r="H73" s="2"/>
      <c r="I73" s="9" t="str">
        <v>责任人</v>
      </c>
      <c r="J73" s="11"/>
      <c r="K73" s="11"/>
      <c r="L73" s="9" t="str">
        <v>未开始</v>
      </c>
      <c r="M73" s="11"/>
      <c r="N73" s="12"/>
      <c r="O73" s="11"/>
      <c r="P73" s="11"/>
      <c r="Q73" s="11"/>
    </row>
    <row customHeight="true" ht="25" r="74">
      <c r="A74" s="1">
        <f>$A73+1</f>
      </c>
      <c r="B74" s="5"/>
      <c r="C74" s="8" t="str">
        <v>忠告性通知发布和实施控制程序</v>
      </c>
      <c r="D74" s="16"/>
      <c r="E74" s="4"/>
      <c r="F74" s="6"/>
      <c r="G74" s="4"/>
      <c r="H74" s="4"/>
      <c r="I74" s="7" t="str">
        <v>责任人</v>
      </c>
      <c r="J74" s="3"/>
      <c r="K74" s="3"/>
      <c r="L74" s="7" t="str">
        <v>未开始</v>
      </c>
      <c r="M74" s="3"/>
      <c r="N74" s="17"/>
      <c r="O74" s="3"/>
      <c r="P74" s="3"/>
      <c r="Q74" s="3"/>
    </row>
    <row customHeight="true" ht="25" r="75">
      <c r="A75" s="1">
        <f>$A74+1</f>
      </c>
      <c r="B75" s="5"/>
      <c r="C75" s="8" t="str">
        <v>企业基本信息</v>
      </c>
      <c r="D75" s="10"/>
      <c r="E75" s="2"/>
      <c r="F75" s="13"/>
      <c r="G75" s="2"/>
      <c r="H75" s="2"/>
      <c r="I75" s="9" t="str">
        <v>责任人</v>
      </c>
      <c r="J75" s="11"/>
      <c r="K75" s="11"/>
      <c r="L75" s="9" t="str">
        <v>未开始</v>
      </c>
      <c r="M75" s="11"/>
      <c r="N75" s="12"/>
      <c r="O75" s="11"/>
      <c r="P75" s="11"/>
      <c r="Q75" s="11"/>
    </row>
    <row customHeight="true" ht="25" r="76">
      <c r="A76" s="1">
        <f>$A75+1</f>
      </c>
      <c r="B76" s="5"/>
      <c r="C76" s="8" t="str">
        <v>平面布局图</v>
      </c>
      <c r="D76" s="16"/>
      <c r="E76" s="4"/>
      <c r="F76" s="6"/>
      <c r="G76" s="4"/>
      <c r="H76" s="4"/>
      <c r="I76" s="7" t="str">
        <v>责任人</v>
      </c>
      <c r="J76" s="3"/>
      <c r="K76" s="3"/>
      <c r="L76" s="7" t="str">
        <v>未开始</v>
      </c>
      <c r="M76" s="3"/>
      <c r="N76" s="17"/>
      <c r="O76" s="3"/>
      <c r="P76" s="3"/>
      <c r="Q76" s="3"/>
    </row>
    <row customHeight="true" ht="25" r="77">
      <c r="A77" s="1">
        <f>$A76+1</f>
      </c>
      <c r="B77" s="14" t="str">
        <v>提交药监材料</v>
      </c>
      <c r="C77" s="15" t="str">
        <v>1.监管信息</v>
      </c>
      <c r="D77" s="10"/>
      <c r="E77" s="2"/>
      <c r="F77" s="13"/>
      <c r="G77" s="2"/>
      <c r="H77" s="2"/>
      <c r="I77" s="9" t="str">
        <v>姚俨铃</v>
      </c>
      <c r="J77" s="11"/>
      <c r="K77" s="11"/>
      <c r="L77" s="9" t="str">
        <v>未开始</v>
      </c>
      <c r="M77" s="11"/>
      <c r="N77" s="12"/>
      <c r="O77" s="11"/>
      <c r="P77" s="11"/>
      <c r="Q77" s="11"/>
    </row>
    <row customHeight="true" ht="25" r="78">
      <c r="A78" s="1">
        <f>$A77+1</f>
      </c>
      <c r="B78" s="5"/>
      <c r="C78" s="8" t="str">
        <v>1.1章节目录</v>
      </c>
      <c r="D78" s="16"/>
      <c r="E78" s="4"/>
      <c r="F78" s="6"/>
      <c r="G78" s="4"/>
      <c r="H78" s="4"/>
      <c r="I78" s="7" t="str">
        <v>姚俨铃</v>
      </c>
      <c r="J78" s="3"/>
      <c r="K78" s="3"/>
      <c r="L78" s="7" t="str">
        <v>未开始</v>
      </c>
      <c r="M78" s="3"/>
      <c r="N78" s="17"/>
      <c r="O78" s="3"/>
      <c r="P78" s="3"/>
      <c r="Q78" s="3"/>
    </row>
    <row customHeight="true" ht="25" r="79">
      <c r="A79" s="1">
        <f>$A78+1</f>
      </c>
      <c r="B79" s="5"/>
      <c r="C79" s="8" t="str">
        <v>1.2申请表</v>
      </c>
      <c r="D79" s="10"/>
      <c r="E79" s="2"/>
      <c r="F79" s="13"/>
      <c r="G79" s="2"/>
      <c r="H79" s="2"/>
      <c r="I79" s="9" t="str">
        <v>姚俨铃</v>
      </c>
      <c r="J79" s="11"/>
      <c r="K79" s="11"/>
      <c r="L79" s="9" t="str">
        <v>未开始</v>
      </c>
      <c r="M79" s="11"/>
      <c r="N79" s="12"/>
      <c r="O79" s="11"/>
      <c r="P79" s="11"/>
      <c r="Q79" s="11"/>
    </row>
    <row customHeight="true" ht="25" r="80">
      <c r="A80" s="1">
        <f>$A79+1</f>
      </c>
      <c r="B80" s="5"/>
      <c r="C80" s="8" t="str">
        <v>1.3术语、缩写词列表</v>
      </c>
      <c r="D80" s="16"/>
      <c r="E80" s="4"/>
      <c r="F80" s="6"/>
      <c r="G80" s="4"/>
      <c r="H80" s="4"/>
      <c r="I80" s="7" t="str">
        <v>姚俨铃</v>
      </c>
      <c r="J80" s="3"/>
      <c r="K80" s="3"/>
      <c r="L80" s="7" t="str">
        <v>未开始</v>
      </c>
      <c r="M80" s="3"/>
      <c r="N80" s="17"/>
      <c r="O80" s="3"/>
      <c r="P80" s="3"/>
      <c r="Q80" s="3"/>
    </row>
    <row customHeight="true" ht="25" r="81">
      <c r="A81" s="1">
        <f>$A80+1</f>
      </c>
      <c r="B81" s="5"/>
      <c r="C81" s="8" t="str">
        <v>1.4产品列表</v>
      </c>
      <c r="D81" s="10"/>
      <c r="E81" s="2"/>
      <c r="F81" s="13"/>
      <c r="G81" s="2"/>
      <c r="H81" s="2"/>
      <c r="I81" s="9" t="str">
        <v>姚俨铃</v>
      </c>
      <c r="J81" s="11"/>
      <c r="K81" s="11"/>
      <c r="L81" s="9" t="str">
        <v>未开始</v>
      </c>
      <c r="M81" s="11"/>
      <c r="N81" s="12"/>
      <c r="O81" s="11"/>
      <c r="P81" s="11"/>
      <c r="Q81" s="11"/>
    </row>
    <row customHeight="true" ht="25" r="82">
      <c r="A82" s="1">
        <f>$A81+1</f>
      </c>
      <c r="B82" s="5"/>
      <c r="C82" s="8" t="str">
        <v>1.5关联文件</v>
      </c>
      <c r="D82" s="16"/>
      <c r="E82" s="4"/>
      <c r="F82" s="6"/>
      <c r="G82" s="4"/>
      <c r="H82" s="4"/>
      <c r="I82" s="7" t="str">
        <v>姚俨铃</v>
      </c>
      <c r="J82" s="3"/>
      <c r="K82" s="3"/>
      <c r="L82" s="7" t="str">
        <v>未开始</v>
      </c>
      <c r="M82" s="3"/>
      <c r="N82" s="17"/>
      <c r="O82" s="3"/>
      <c r="P82" s="3"/>
      <c r="Q82" s="3"/>
    </row>
    <row customHeight="true" ht="35" r="83">
      <c r="A83" s="1">
        <f>$A82+1</f>
      </c>
      <c r="B83" s="5"/>
      <c r="C83" s="8" t="str">
        <v>1.6申报前与监管机构的联系情况和沟通记录</v>
      </c>
      <c r="D83" s="10"/>
      <c r="E83" s="2"/>
      <c r="F83" s="13"/>
      <c r="G83" s="2"/>
      <c r="H83" s="2"/>
      <c r="I83" s="9" t="str">
        <v>姚俨铃</v>
      </c>
      <c r="J83" s="11"/>
      <c r="K83" s="11"/>
      <c r="L83" s="9" t="str">
        <v>未开始</v>
      </c>
      <c r="M83" s="11"/>
      <c r="N83" s="12"/>
      <c r="O83" s="11"/>
      <c r="P83" s="11"/>
      <c r="Q83" s="11"/>
    </row>
    <row customHeight="true" ht="25" r="84">
      <c r="A84" s="1">
        <f>$A83+1</f>
      </c>
      <c r="B84" s="5"/>
      <c r="C84" s="8" t="str">
        <v>1.7符合性声明</v>
      </c>
      <c r="D84" s="16"/>
      <c r="E84" s="4"/>
      <c r="F84" s="6"/>
      <c r="G84" s="4"/>
      <c r="H84" s="4"/>
      <c r="I84" s="7" t="str">
        <v>姚俨铃</v>
      </c>
      <c r="J84" s="3"/>
      <c r="K84" s="3"/>
      <c r="L84" s="7" t="str">
        <v>未开始</v>
      </c>
      <c r="M84" s="3"/>
      <c r="N84" s="17"/>
      <c r="O84" s="3"/>
      <c r="P84" s="3"/>
      <c r="Q84" s="3"/>
    </row>
    <row customHeight="true" ht="25" r="85">
      <c r="A85" s="1">
        <f>$A84+1</f>
      </c>
      <c r="B85" s="5"/>
      <c r="C85" s="15" t="str">
        <v>2.综述资料</v>
      </c>
      <c r="D85" s="10"/>
      <c r="E85" s="2"/>
      <c r="F85" s="13"/>
      <c r="G85" s="2"/>
      <c r="H85" s="2"/>
      <c r="I85" s="9" t="str">
        <v>姚俨铃</v>
      </c>
      <c r="J85" s="11"/>
      <c r="K85" s="11"/>
      <c r="L85" s="9" t="str">
        <v>未开始</v>
      </c>
      <c r="M85" s="11"/>
      <c r="N85" s="12"/>
      <c r="O85" s="11"/>
      <c r="P85" s="11"/>
      <c r="Q85" s="11"/>
    </row>
    <row customHeight="true" ht="25" r="86">
      <c r="A86" s="1">
        <f>$A85+1</f>
      </c>
      <c r="B86" s="5"/>
      <c r="C86" s="8" t="str">
        <v>2.1章节目录</v>
      </c>
      <c r="D86" s="16"/>
      <c r="E86" s="4"/>
      <c r="F86" s="6"/>
      <c r="G86" s="4"/>
      <c r="H86" s="4"/>
      <c r="I86" s="7" t="str">
        <v>姚俨铃</v>
      </c>
      <c r="J86" s="3"/>
      <c r="K86" s="3"/>
      <c r="L86" s="7" t="str">
        <v>未开始</v>
      </c>
      <c r="M86" s="3"/>
      <c r="N86" s="17"/>
      <c r="O86" s="3"/>
      <c r="P86" s="3"/>
      <c r="Q86" s="3"/>
    </row>
    <row customHeight="true" ht="25" r="87">
      <c r="A87" s="1">
        <f>$A86+1</f>
      </c>
      <c r="B87" s="5"/>
      <c r="C87" s="8" t="str">
        <v>2.2概述</v>
      </c>
      <c r="D87" s="10"/>
      <c r="E87" s="2"/>
      <c r="F87" s="13"/>
      <c r="G87" s="2"/>
      <c r="H87" s="2"/>
      <c r="I87" s="9" t="str">
        <v>姚俨铃</v>
      </c>
      <c r="J87" s="11"/>
      <c r="K87" s="11"/>
      <c r="L87" s="9" t="str">
        <v>未开始</v>
      </c>
      <c r="M87" s="11"/>
      <c r="N87" s="12"/>
      <c r="O87" s="11"/>
      <c r="P87" s="11"/>
      <c r="Q87" s="11"/>
    </row>
    <row customHeight="true" ht="25" r="88">
      <c r="A88" s="1">
        <f>$A87+1</f>
      </c>
      <c r="B88" s="5"/>
      <c r="C88" s="8" t="str">
        <v>2.3产品描述</v>
      </c>
      <c r="D88" s="16"/>
      <c r="E88" s="4"/>
      <c r="F88" s="6"/>
      <c r="G88" s="4"/>
      <c r="H88" s="4"/>
      <c r="I88" s="7" t="str">
        <v>姚俨铃</v>
      </c>
      <c r="J88" s="3"/>
      <c r="K88" s="3"/>
      <c r="L88" s="7" t="str">
        <v>未开始</v>
      </c>
      <c r="M88" s="3"/>
      <c r="N88" s="17"/>
      <c r="O88" s="3"/>
      <c r="P88" s="3"/>
      <c r="Q88" s="3"/>
    </row>
    <row customHeight="true" ht="25" r="89">
      <c r="A89" s="1">
        <f>$A88+1</f>
      </c>
      <c r="B89" s="5"/>
      <c r="C89" s="8" t="str">
        <v>2.4适用范围和禁忌证</v>
      </c>
      <c r="D89" s="10"/>
      <c r="E89" s="2"/>
      <c r="F89" s="13"/>
      <c r="G89" s="2"/>
      <c r="H89" s="2"/>
      <c r="I89" s="9" t="str">
        <v>姚俨铃</v>
      </c>
      <c r="J89" s="11"/>
      <c r="K89" s="11"/>
      <c r="L89" s="9" t="str">
        <v>未开始</v>
      </c>
      <c r="M89" s="11"/>
      <c r="N89" s="12"/>
      <c r="O89" s="11"/>
      <c r="P89" s="11"/>
      <c r="Q89" s="11"/>
    </row>
    <row customHeight="true" ht="25" r="90">
      <c r="A90" s="1">
        <f>$A89+1</f>
      </c>
      <c r="B90" s="5"/>
      <c r="C90" s="8" t="str">
        <v>2.5申报产品上市历史</v>
      </c>
      <c r="D90" s="16"/>
      <c r="E90" s="4"/>
      <c r="F90" s="6"/>
      <c r="G90" s="4"/>
      <c r="H90" s="4"/>
      <c r="I90" s="7" t="str">
        <v>姚俨铃</v>
      </c>
      <c r="J90" s="3"/>
      <c r="K90" s="3"/>
      <c r="L90" s="7" t="str">
        <v>未开始</v>
      </c>
      <c r="M90" s="3"/>
      <c r="N90" s="17"/>
      <c r="O90" s="3"/>
      <c r="P90" s="3"/>
      <c r="Q90" s="3"/>
    </row>
    <row customHeight="true" ht="25" r="91">
      <c r="A91" s="1">
        <f>$A90+1</f>
      </c>
      <c r="B91" s="5"/>
      <c r="C91" s="8" t="str">
        <v>2.6其他需说明的内容</v>
      </c>
      <c r="D91" s="10"/>
      <c r="E91" s="2"/>
      <c r="F91" s="13"/>
      <c r="G91" s="2"/>
      <c r="H91" s="2"/>
      <c r="I91" s="9" t="str">
        <v>姚俨铃</v>
      </c>
      <c r="J91" s="11"/>
      <c r="K91" s="11"/>
      <c r="L91" s="9" t="str">
        <v>未开始</v>
      </c>
      <c r="M91" s="11"/>
      <c r="N91" s="12"/>
      <c r="O91" s="11"/>
      <c r="P91" s="11"/>
      <c r="Q91" s="11"/>
    </row>
    <row customHeight="true" ht="25" r="92">
      <c r="A92" s="1">
        <f>$A91+1</f>
      </c>
      <c r="B92" s="5"/>
      <c r="C92" s="15" t="str">
        <v>3.非临床资料</v>
      </c>
      <c r="D92" s="16"/>
      <c r="E92" s="4"/>
      <c r="F92" s="6"/>
      <c r="G92" s="4"/>
      <c r="H92" s="4"/>
      <c r="I92" s="7" t="str">
        <v>姚俨铃</v>
      </c>
      <c r="J92" s="3"/>
      <c r="K92" s="3"/>
      <c r="L92" s="7" t="str">
        <v>未开始</v>
      </c>
      <c r="M92" s="3"/>
      <c r="N92" s="17"/>
      <c r="O92" s="3"/>
      <c r="P92" s="3"/>
      <c r="Q92" s="3"/>
    </row>
    <row customHeight="true" ht="25" r="93">
      <c r="A93" s="1">
        <f>$A92+1</f>
      </c>
      <c r="B93" s="5"/>
      <c r="C93" s="8" t="str">
        <v>3.1章节目录</v>
      </c>
      <c r="D93" s="10"/>
      <c r="E93" s="2"/>
      <c r="F93" s="13"/>
      <c r="G93" s="2"/>
      <c r="H93" s="2"/>
      <c r="I93" s="9" t="str">
        <v>姚俨铃</v>
      </c>
      <c r="J93" s="11"/>
      <c r="K93" s="11"/>
      <c r="L93" s="9" t="str">
        <v>未开始</v>
      </c>
      <c r="M93" s="11"/>
      <c r="N93" s="12"/>
      <c r="O93" s="11"/>
      <c r="P93" s="11"/>
      <c r="Q93" s="11"/>
    </row>
    <row customHeight="true" ht="25" r="94">
      <c r="A94" s="1">
        <f>$A93+1</f>
      </c>
      <c r="B94" s="5"/>
      <c r="C94" s="8" t="str">
        <v>3.2产品风险管理资料</v>
      </c>
      <c r="D94" s="16"/>
      <c r="E94" s="4"/>
      <c r="F94" s="6"/>
      <c r="G94" s="4"/>
      <c r="H94" s="4"/>
      <c r="I94" s="7" t="str">
        <v>姚俨铃</v>
      </c>
      <c r="J94" s="3"/>
      <c r="K94" s="3"/>
      <c r="L94" s="7" t="str">
        <v>未开始</v>
      </c>
      <c r="M94" s="3"/>
      <c r="N94" s="17"/>
      <c r="O94" s="3"/>
      <c r="P94" s="3"/>
      <c r="Q94" s="3"/>
    </row>
    <row customHeight="true" ht="35" r="95">
      <c r="A95" s="1">
        <f>$A94+1</f>
      </c>
      <c r="B95" s="5"/>
      <c r="C95" s="8" t="str">
        <v>3.3医疗器械安全和性能基本原则清单</v>
      </c>
      <c r="D95" s="10"/>
      <c r="E95" s="2"/>
      <c r="F95" s="13"/>
      <c r="G95" s="2"/>
      <c r="H95" s="2"/>
      <c r="I95" s="9" t="str">
        <v>姚俨铃</v>
      </c>
      <c r="J95" s="11"/>
      <c r="K95" s="11"/>
      <c r="L95" s="9" t="str">
        <v>未开始</v>
      </c>
      <c r="M95" s="11"/>
      <c r="N95" s="12"/>
      <c r="O95" s="11"/>
      <c r="P95" s="11"/>
      <c r="Q95" s="11"/>
    </row>
    <row customHeight="true" ht="25" r="96">
      <c r="A96" s="1">
        <f>$A95+1</f>
      </c>
      <c r="B96" s="5"/>
      <c r="C96" s="8" t="str">
        <v>3.4产品技术要求及检验报告</v>
      </c>
      <c r="D96" s="16"/>
      <c r="E96" s="4"/>
      <c r="F96" s="6"/>
      <c r="G96" s="4"/>
      <c r="H96" s="4"/>
      <c r="I96" s="7" t="str">
        <v>姚俨铃</v>
      </c>
      <c r="J96" s="3"/>
      <c r="K96" s="3"/>
      <c r="L96" s="7" t="str">
        <v>未开始</v>
      </c>
      <c r="M96" s="3"/>
      <c r="N96" s="17"/>
      <c r="O96" s="3"/>
      <c r="P96" s="3"/>
      <c r="Q96" s="3"/>
    </row>
    <row customHeight="true" ht="25" r="97">
      <c r="A97" s="1">
        <f>$A96+1</f>
      </c>
      <c r="B97" s="5"/>
      <c r="C97" s="8" t="str">
        <v>3.5研究资料</v>
      </c>
      <c r="D97" s="10"/>
      <c r="E97" s="2"/>
      <c r="F97" s="13"/>
      <c r="G97" s="2"/>
      <c r="H97" s="2"/>
      <c r="I97" s="9" t="str">
        <v>姚俨铃</v>
      </c>
      <c r="J97" s="11"/>
      <c r="K97" s="11"/>
      <c r="L97" s="9" t="str">
        <v>未开始</v>
      </c>
      <c r="M97" s="11"/>
      <c r="N97" s="12"/>
      <c r="O97" s="11"/>
      <c r="P97" s="11"/>
      <c r="Q97" s="11"/>
    </row>
    <row customHeight="true" ht="25" r="98">
      <c r="A98" s="1">
        <f>$A97+1</f>
      </c>
      <c r="B98" s="5"/>
      <c r="C98" s="8" t="str">
        <v>3.5.1 化学和物理性能研究</v>
      </c>
      <c r="D98" s="16"/>
      <c r="E98" s="4"/>
      <c r="F98" s="6"/>
      <c r="G98" s="4"/>
      <c r="H98" s="4"/>
      <c r="I98" s="7" t="str">
        <v>姚俨铃</v>
      </c>
      <c r="J98" s="3"/>
      <c r="K98" s="3"/>
      <c r="L98" s="7" t="str">
        <v>未开始</v>
      </c>
      <c r="M98" s="3"/>
      <c r="N98" s="17"/>
      <c r="O98" s="3"/>
      <c r="P98" s="3"/>
      <c r="Q98" s="3"/>
    </row>
    <row customHeight="true" ht="35" r="99">
      <c r="A99" s="1">
        <f>$A98+1</f>
      </c>
      <c r="B99" s="5"/>
      <c r="C99" s="8" t="str">
        <v>3.5.2 软件研究（网路安全研究、算法研究等）</v>
      </c>
      <c r="D99" s="10"/>
      <c r="E99" s="2"/>
      <c r="F99" s="13"/>
      <c r="G99" s="2"/>
      <c r="H99" s="2"/>
      <c r="I99" s="9" t="str">
        <v>姚俨铃</v>
      </c>
      <c r="J99" s="11"/>
      <c r="K99" s="11"/>
      <c r="L99" s="9" t="str">
        <v>未开始</v>
      </c>
      <c r="M99" s="11"/>
      <c r="N99" s="12"/>
      <c r="O99" s="11"/>
      <c r="P99" s="11"/>
      <c r="Q99" s="11"/>
    </row>
    <row customHeight="true" ht="25" r="100">
      <c r="A100" s="1">
        <f>$A99+1</f>
      </c>
      <c r="B100" s="5"/>
      <c r="C100" s="8" t="str">
        <v>3.6非临床文献</v>
      </c>
      <c r="D100" s="16"/>
      <c r="E100" s="4"/>
      <c r="F100" s="6"/>
      <c r="G100" s="4"/>
      <c r="H100" s="4"/>
      <c r="I100" s="7" t="str">
        <v>姚俨铃</v>
      </c>
      <c r="J100" s="3"/>
      <c r="K100" s="3"/>
      <c r="L100" s="7" t="str">
        <v>未开始</v>
      </c>
      <c r="M100" s="3"/>
      <c r="N100" s="17"/>
      <c r="O100" s="3"/>
      <c r="P100" s="3"/>
      <c r="Q100" s="3"/>
    </row>
    <row customHeight="true" ht="25" r="101">
      <c r="A101" s="1">
        <f>$A100+1</f>
      </c>
      <c r="B101" s="5"/>
      <c r="C101" s="8" t="str">
        <v>3.7稳定性研究</v>
      </c>
      <c r="D101" s="10"/>
      <c r="E101" s="2"/>
      <c r="F101" s="13"/>
      <c r="G101" s="2"/>
      <c r="H101" s="2"/>
      <c r="I101" s="9" t="str">
        <v>姚俨铃</v>
      </c>
      <c r="J101" s="11"/>
      <c r="K101" s="11"/>
      <c r="L101" s="9" t="str">
        <v>未开始</v>
      </c>
      <c r="M101" s="11"/>
      <c r="N101" s="12"/>
      <c r="O101" s="11"/>
      <c r="P101" s="11"/>
      <c r="Q101" s="11"/>
    </row>
    <row customHeight="true" ht="25" r="102">
      <c r="A102" s="1">
        <f>$A101+1</f>
      </c>
      <c r="B102" s="5"/>
      <c r="C102" s="8" t="str">
        <v>3.8其他资料</v>
      </c>
      <c r="D102" s="16"/>
      <c r="E102" s="4"/>
      <c r="F102" s="6"/>
      <c r="G102" s="4"/>
      <c r="H102" s="4"/>
      <c r="I102" s="7" t="str">
        <v>姚俨铃</v>
      </c>
      <c r="J102" s="3"/>
      <c r="K102" s="3"/>
      <c r="L102" s="7" t="str">
        <v>未开始</v>
      </c>
      <c r="M102" s="3"/>
      <c r="N102" s="17"/>
      <c r="O102" s="3"/>
      <c r="P102" s="3"/>
      <c r="Q102" s="3"/>
    </row>
    <row customHeight="true" ht="25" r="103">
      <c r="A103" s="1">
        <f>$A102+1</f>
      </c>
      <c r="B103" s="5"/>
      <c r="C103" s="15" t="str">
        <v>4、临床评价资料</v>
      </c>
      <c r="D103" s="10"/>
      <c r="E103" s="2"/>
      <c r="F103" s="13"/>
      <c r="G103" s="2"/>
      <c r="H103" s="2"/>
      <c r="I103" s="9" t="str">
        <v>姚俨铃</v>
      </c>
      <c r="J103" s="11"/>
      <c r="K103" s="11"/>
      <c r="L103" s="9" t="str">
        <v>未开始</v>
      </c>
      <c r="M103" s="11"/>
      <c r="N103" s="12"/>
      <c r="O103" s="11"/>
      <c r="P103" s="11"/>
      <c r="Q103" s="11"/>
    </row>
    <row customHeight="true" ht="25" r="104">
      <c r="A104" s="1">
        <f>$A103+1</f>
      </c>
      <c r="B104" s="5"/>
      <c r="C104" s="8" t="str">
        <v>4.1章节目录</v>
      </c>
      <c r="D104" s="16"/>
      <c r="E104" s="4"/>
      <c r="F104" s="6"/>
      <c r="G104" s="4"/>
      <c r="H104" s="4"/>
      <c r="I104" s="7" t="str">
        <v>姚俨铃</v>
      </c>
      <c r="J104" s="3"/>
      <c r="K104" s="3"/>
      <c r="L104" s="7" t="str">
        <v>未开始</v>
      </c>
      <c r="M104" s="3"/>
      <c r="N104" s="17"/>
      <c r="O104" s="3"/>
      <c r="P104" s="3"/>
      <c r="Q104" s="3"/>
    </row>
    <row customHeight="true" ht="25" r="105">
      <c r="A105" s="1">
        <f>$A104+1</f>
      </c>
      <c r="B105" s="5"/>
      <c r="C105" s="8" t="str">
        <v>4.2临床评价资料要求</v>
      </c>
      <c r="D105" s="10"/>
      <c r="E105" s="2"/>
      <c r="F105" s="13"/>
      <c r="G105" s="2"/>
      <c r="H105" s="2"/>
      <c r="I105" s="9" t="str">
        <v>姚俨铃</v>
      </c>
      <c r="J105" s="11"/>
      <c r="K105" s="11"/>
      <c r="L105" s="9" t="str">
        <v>未开始</v>
      </c>
      <c r="M105" s="11"/>
      <c r="N105" s="12"/>
      <c r="O105" s="11"/>
      <c r="P105" s="11"/>
      <c r="Q105" s="11"/>
    </row>
    <row customHeight="true" ht="25" r="106">
      <c r="A106" s="1">
        <f>$A105+1</f>
      </c>
      <c r="B106" s="5"/>
      <c r="C106" s="8" t="str">
        <v>4.3其他资料</v>
      </c>
      <c r="D106" s="16"/>
      <c r="E106" s="4"/>
      <c r="F106" s="6"/>
      <c r="G106" s="4"/>
      <c r="H106" s="4"/>
      <c r="I106" s="7" t="str">
        <v>姚俨铃</v>
      </c>
      <c r="J106" s="3"/>
      <c r="K106" s="3"/>
      <c r="L106" s="7" t="str">
        <v>未开始</v>
      </c>
      <c r="M106" s="3"/>
      <c r="N106" s="17"/>
      <c r="O106" s="3"/>
      <c r="P106" s="3"/>
      <c r="Q106" s="3"/>
    </row>
    <row customHeight="true" ht="25" r="107">
      <c r="A107" s="1">
        <f>$A106+1</f>
      </c>
      <c r="B107" s="5"/>
      <c r="C107" s="15" t="str">
        <v>5.产品说明书和标签样稿</v>
      </c>
      <c r="D107" s="10"/>
      <c r="E107" s="2"/>
      <c r="F107" s="13"/>
      <c r="G107" s="2"/>
      <c r="H107" s="2"/>
      <c r="I107" s="9" t="str">
        <v>姚俨铃</v>
      </c>
      <c r="J107" s="11"/>
      <c r="K107" s="11"/>
      <c r="L107" s="9" t="str">
        <v>未开始</v>
      </c>
      <c r="M107" s="11"/>
      <c r="N107" s="12"/>
      <c r="O107" s="11"/>
      <c r="P107" s="11"/>
      <c r="Q107" s="11"/>
    </row>
    <row customHeight="true" ht="25" r="108">
      <c r="A108" s="1">
        <f>$A107+1</f>
      </c>
      <c r="B108" s="5"/>
      <c r="C108" s="8" t="str">
        <v>5.1章节目录</v>
      </c>
      <c r="D108" s="16"/>
      <c r="E108" s="4"/>
      <c r="F108" s="6"/>
      <c r="G108" s="4"/>
      <c r="H108" s="4"/>
      <c r="I108" s="7" t="str">
        <v>姚俨铃</v>
      </c>
      <c r="J108" s="3"/>
      <c r="K108" s="3"/>
      <c r="L108" s="7" t="str">
        <v>未开始</v>
      </c>
      <c r="M108" s="3"/>
      <c r="N108" s="17"/>
      <c r="O108" s="3"/>
      <c r="P108" s="3"/>
      <c r="Q108" s="3"/>
    </row>
    <row customHeight="true" ht="25" r="109">
      <c r="A109" s="1">
        <f>$A108+1</f>
      </c>
      <c r="B109" s="5"/>
      <c r="C109" s="8" t="str">
        <v>5.2产品说明书</v>
      </c>
      <c r="D109" s="10"/>
      <c r="E109" s="2"/>
      <c r="F109" s="13"/>
      <c r="G109" s="2"/>
      <c r="H109" s="2"/>
      <c r="I109" s="9" t="str">
        <v>姚俨铃</v>
      </c>
      <c r="J109" s="11"/>
      <c r="K109" s="11"/>
      <c r="L109" s="9" t="str">
        <v>未开始</v>
      </c>
      <c r="M109" s="11"/>
      <c r="N109" s="12"/>
      <c r="O109" s="11"/>
      <c r="P109" s="11"/>
      <c r="Q109" s="11"/>
    </row>
    <row customHeight="true" ht="25" r="110">
      <c r="A110" s="1">
        <f>$A109+1</f>
      </c>
      <c r="B110" s="5"/>
      <c r="C110" s="8" t="str">
        <v>5.3标签样稿</v>
      </c>
      <c r="D110" s="16"/>
      <c r="E110" s="4"/>
      <c r="F110" s="6"/>
      <c r="G110" s="4"/>
      <c r="H110" s="4"/>
      <c r="I110" s="7" t="str">
        <v>姚俨铃</v>
      </c>
      <c r="J110" s="3"/>
      <c r="K110" s="3"/>
      <c r="L110" s="7" t="str">
        <v>未开始</v>
      </c>
      <c r="M110" s="3"/>
      <c r="N110" s="17"/>
      <c r="O110" s="3"/>
      <c r="P110" s="3"/>
      <c r="Q110" s="3"/>
    </row>
    <row customHeight="true" ht="25" r="111">
      <c r="A111" s="1">
        <f>$A110+1</f>
      </c>
      <c r="B111" s="5"/>
      <c r="C111" s="8" t="str">
        <v>5.4其他资料</v>
      </c>
      <c r="D111" s="10"/>
      <c r="E111" s="2"/>
      <c r="F111" s="13"/>
      <c r="G111" s="2"/>
      <c r="H111" s="2"/>
      <c r="I111" s="9" t="str">
        <v>姚俨铃</v>
      </c>
      <c r="J111" s="11"/>
      <c r="K111" s="11"/>
      <c r="L111" s="9" t="str">
        <v>未开始</v>
      </c>
      <c r="M111" s="11"/>
      <c r="N111" s="12"/>
      <c r="O111" s="11"/>
      <c r="P111" s="11"/>
      <c r="Q111" s="11"/>
    </row>
    <row customHeight="true" ht="25" r="112">
      <c r="A112" s="1">
        <f>$A111+1</f>
      </c>
      <c r="B112" s="5"/>
      <c r="C112" s="15" t="str">
        <v>6、质量管理体系文件</v>
      </c>
      <c r="D112" s="16"/>
      <c r="E112" s="4"/>
      <c r="F112" s="6"/>
      <c r="G112" s="4"/>
      <c r="H112" s="4"/>
      <c r="I112" s="7" t="str">
        <v>姚俨铃</v>
      </c>
      <c r="J112" s="3"/>
      <c r="K112" s="3"/>
      <c r="L112" s="7" t="str">
        <v>未开始</v>
      </c>
      <c r="M112" s="3"/>
      <c r="N112" s="17"/>
      <c r="O112" s="3"/>
      <c r="P112" s="3"/>
      <c r="Q112" s="3"/>
    </row>
    <row customHeight="true" ht="25" r="113">
      <c r="A113" s="1">
        <f>$A112+1</f>
      </c>
      <c r="B113" s="5"/>
      <c r="C113" s="8" t="str">
        <v>6.1综述</v>
      </c>
      <c r="D113" s="10"/>
      <c r="E113" s="2"/>
      <c r="F113" s="13"/>
      <c r="G113" s="2"/>
      <c r="H113" s="2"/>
      <c r="I113" s="9" t="str">
        <v>姚俨铃</v>
      </c>
      <c r="J113" s="11"/>
      <c r="K113" s="11"/>
      <c r="L113" s="9" t="str">
        <v>未开始</v>
      </c>
      <c r="M113" s="11"/>
      <c r="N113" s="12"/>
      <c r="O113" s="11"/>
      <c r="P113" s="11"/>
      <c r="Q113" s="11"/>
    </row>
    <row customHeight="true" ht="25" r="114">
      <c r="A114" s="1">
        <f>$A113+1</f>
      </c>
      <c r="B114" s="5"/>
      <c r="C114" s="8" t="str">
        <v>6.2章节目录</v>
      </c>
      <c r="D114" s="16"/>
      <c r="E114" s="4"/>
      <c r="F114" s="6"/>
      <c r="G114" s="4"/>
      <c r="H114" s="4"/>
      <c r="I114" s="7" t="str">
        <v>姚俨铃</v>
      </c>
      <c r="J114" s="3"/>
      <c r="K114" s="3"/>
      <c r="L114" s="7" t="str">
        <v>未开始</v>
      </c>
      <c r="M114" s="3"/>
      <c r="N114" s="17"/>
      <c r="O114" s="3"/>
      <c r="P114" s="3"/>
      <c r="Q114" s="3"/>
    </row>
    <row customHeight="true" ht="25" r="115">
      <c r="A115" s="1">
        <f>$A114+1</f>
      </c>
      <c r="B115" s="5"/>
      <c r="C115" s="8" t="str">
        <v>6.3生产制造信息</v>
      </c>
      <c r="D115" s="10"/>
      <c r="E115" s="2"/>
      <c r="F115" s="13"/>
      <c r="G115" s="2"/>
      <c r="H115" s="2"/>
      <c r="I115" s="9" t="str">
        <v>姚俨铃</v>
      </c>
      <c r="J115" s="11"/>
      <c r="K115" s="11"/>
      <c r="L115" s="9" t="str">
        <v>未开始</v>
      </c>
      <c r="M115" s="11"/>
      <c r="N115" s="12"/>
      <c r="O115" s="11"/>
      <c r="P115" s="11"/>
      <c r="Q115" s="11"/>
    </row>
    <row customHeight="true" ht="25" r="116">
      <c r="A116" s="1">
        <f>$A115+1</f>
      </c>
      <c r="B116" s="5"/>
      <c r="C116" s="8" t="str">
        <v>6.4质量管理体系程序</v>
      </c>
      <c r="D116" s="16"/>
      <c r="E116" s="4"/>
      <c r="F116" s="6"/>
      <c r="G116" s="4"/>
      <c r="H116" s="4"/>
      <c r="I116" s="7" t="str">
        <v>姚俨铃</v>
      </c>
      <c r="J116" s="3"/>
      <c r="K116" s="3"/>
      <c r="L116" s="7" t="str">
        <v>未开始</v>
      </c>
      <c r="M116" s="3"/>
      <c r="N116" s="17"/>
      <c r="O116" s="3"/>
      <c r="P116" s="3"/>
      <c r="Q116" s="3"/>
    </row>
    <row customHeight="true" ht="25" r="117">
      <c r="A117" s="1">
        <f>$A116+1</f>
      </c>
      <c r="B117" s="5"/>
      <c r="C117" s="8" t="str">
        <v>6.5管理职责程序</v>
      </c>
      <c r="D117" s="10"/>
      <c r="E117" s="2"/>
      <c r="F117" s="13"/>
      <c r="G117" s="2"/>
      <c r="H117" s="2"/>
      <c r="I117" s="9" t="str">
        <v>姚俨铃</v>
      </c>
      <c r="J117" s="11"/>
      <c r="K117" s="11"/>
      <c r="L117" s="9" t="str">
        <v>未开始</v>
      </c>
      <c r="M117" s="11"/>
      <c r="N117" s="12"/>
      <c r="O117" s="11"/>
      <c r="P117" s="11"/>
      <c r="Q117" s="11"/>
    </row>
    <row customHeight="true" ht="25" r="118">
      <c r="A118" s="1">
        <f>$A117+1</f>
      </c>
      <c r="B118" s="5"/>
      <c r="C118" s="8" t="str">
        <v>6.6资源管理程序</v>
      </c>
      <c r="D118" s="16"/>
      <c r="E118" s="4"/>
      <c r="F118" s="6"/>
      <c r="G118" s="4"/>
      <c r="H118" s="4"/>
      <c r="I118" s="7" t="str">
        <v>姚俨铃</v>
      </c>
      <c r="J118" s="3"/>
      <c r="K118" s="3"/>
      <c r="L118" s="7" t="str">
        <v>未开始</v>
      </c>
      <c r="M118" s="3"/>
      <c r="N118" s="17"/>
      <c r="O118" s="3"/>
      <c r="P118" s="3"/>
      <c r="Q118" s="3"/>
    </row>
    <row customHeight="true" ht="25" r="119">
      <c r="A119" s="1">
        <f>$A118+1</f>
      </c>
      <c r="B119" s="5"/>
      <c r="C119" s="8" t="str">
        <v>6.7产品实现程序</v>
      </c>
      <c r="D119" s="10"/>
      <c r="E119" s="2"/>
      <c r="F119" s="13"/>
      <c r="G119" s="2"/>
      <c r="H119" s="2"/>
      <c r="I119" s="9" t="str">
        <v>姚俨铃</v>
      </c>
      <c r="J119" s="11"/>
      <c r="K119" s="11"/>
      <c r="L119" s="9" t="str">
        <v>未开始</v>
      </c>
      <c r="M119" s="11"/>
      <c r="N119" s="12"/>
      <c r="O119" s="11"/>
      <c r="P119" s="11"/>
      <c r="Q119" s="11"/>
    </row>
    <row customHeight="true" ht="35" r="120">
      <c r="A120" s="1">
        <f>$A119+1</f>
      </c>
      <c r="B120" s="5"/>
      <c r="C120" s="8" t="str">
        <v>6.8质量管理体系的测量、分析和改进程序</v>
      </c>
      <c r="D120" s="16"/>
      <c r="E120" s="4"/>
      <c r="F120" s="6"/>
      <c r="G120" s="4"/>
      <c r="H120" s="4"/>
      <c r="I120" s="7" t="str">
        <v>姚俨铃</v>
      </c>
      <c r="J120" s="3"/>
      <c r="K120" s="3"/>
      <c r="L120" s="7" t="str">
        <v>未开始</v>
      </c>
      <c r="M120" s="3"/>
      <c r="N120" s="17"/>
      <c r="O120" s="3"/>
      <c r="P120" s="3"/>
      <c r="Q120" s="3"/>
    </row>
    <row customHeight="true" ht="25" r="121">
      <c r="A121" s="1">
        <f>$A120+1</f>
      </c>
      <c r="B121" s="5"/>
      <c r="C121" s="8" t="str">
        <v>6.9其他质量体系程序信息</v>
      </c>
      <c r="D121" s="10"/>
      <c r="E121" s="2"/>
      <c r="F121" s="13"/>
      <c r="G121" s="2"/>
      <c r="H121" s="2"/>
      <c r="I121" s="9" t="str">
        <v>姚俨铃</v>
      </c>
      <c r="J121" s="11"/>
      <c r="K121" s="11"/>
      <c r="L121" s="9" t="str">
        <v>未开始</v>
      </c>
      <c r="M121" s="11"/>
      <c r="N121" s="12"/>
      <c r="O121" s="11"/>
      <c r="P121" s="11"/>
      <c r="Q121" s="11"/>
    </row>
    <row customHeight="true" ht="25" r="122">
      <c r="A122" s="1">
        <f>$A121+1</f>
      </c>
      <c r="B122" s="5"/>
      <c r="C122" s="8" t="str">
        <v>6.10质量管理体系核查文件</v>
      </c>
      <c r="D122" s="16"/>
      <c r="E122" s="4"/>
      <c r="F122" s="6"/>
      <c r="G122" s="4"/>
      <c r="H122" s="4"/>
      <c r="I122" s="7" t="str">
        <v>姚俨铃</v>
      </c>
      <c r="J122" s="3"/>
      <c r="K122" s="3"/>
      <c r="L122" s="7" t="str">
        <v>未开始</v>
      </c>
      <c r="M122" s="3"/>
      <c r="N122" s="17"/>
      <c r="O122" s="3"/>
      <c r="P122" s="3"/>
      <c r="Q122" s="3"/>
    </row>
  </sheetData>
  <mergeCells>
    <mergeCell ref="A1:Q1"/>
    <mergeCell ref="B3:B10"/>
    <mergeCell ref="B11:B25"/>
    <mergeCell ref="B26:B29"/>
    <mergeCell ref="B30:B31"/>
    <mergeCell ref="B32:B44"/>
    <mergeCell ref="B45:B76"/>
    <mergeCell ref="B77:B122"/>
  </mergeCells>
  <conditionalFormatting sqref="L2:L122 M11:M122">
    <cfRule dxfId="3" operator="equal" priority="2" stopIfTrue="true" type="cellIs">
      <formula>"未开始"</formula>
    </cfRule>
  </conditionalFormatting>
  <conditionalFormatting sqref="L2:L122 M11:M122">
    <cfRule dxfId="4" operator="equal" priority="3" stopIfTrue="true" type="cellIs">
      <formula>"进行中"</formula>
    </cfRule>
  </conditionalFormatting>
  <conditionalFormatting sqref="L2:L122 M11:M122">
    <cfRule dxfId="5" operator="equal" priority="4" stopIfTrue="true" type="cellIs">
      <formula>"已完成"</formula>
    </cfRule>
  </conditionalFormatting>
  <dataValidations count="9">
    <dataValidation allowBlank="true" errorStyle="stop" showErrorMessage="true" sqref="M32:M122" type="list">
      <formula1>",状态,应总,符总,李磊"</formula1>
    </dataValidation>
    <dataValidation allowBlank="true" errorStyle="stop" showErrorMessage="true" sqref="I2" type="list">
      <formula1>"责任人,李磊,胡波,张丽,符灵建,李磊、宋罗蛾,全项目组,李磊、符灵建,李磊、曹晶晶,曹晶晶,新项目,李磊、胡波"</formula1>
    </dataValidation>
    <dataValidation allowBlank="true" errorStyle="stop" showErrorMessage="true" sqref="L3 L7" type="list">
      <formula1>",状态,未开始,已完成,内部审核人(应总),内部审核人(符总),捷通,李磊、捷通"</formula1>
    </dataValidation>
    <dataValidation allowBlank="true" errorStyle="stop" showErrorMessage="true" sqref="I4:I6" type="list">
      <formula1>"顾总,李磊,符总,张文慧,应致标,静总,张检总"</formula1>
    </dataValidation>
    <dataValidation allowBlank="true" errorStyle="stop" showErrorMessage="true" sqref="I7:I8" type="list">
      <formula1>"顾总,李磊,符总,张文慧,应致标,静总,张检总,姚俨铃"</formula1>
    </dataValidation>
    <dataValidation allowBlank="true" errorStyle="stop" showErrorMessage="true" sqref="I9:I122" type="list">
      <formula1>"顾总,李磊,符总,张文慧,应致标,静总,张检总,姚俨铃,责任人"</formula1>
    </dataValidation>
    <dataValidation allowBlank="true" errorStyle="stop" showErrorMessage="true" sqref="L4:L6 L8:L122" type="list">
      <formula1>",进行中,未开始,已完成,内部审核人(应总),内部审核人(符总),捷通审核(张凤姝),李磊、捷通"</formula1>
    </dataValidation>
    <dataValidation allowBlank="true" errorStyle="stop" showErrorMessage="true" sqref="L2" type="list">
      <formula1>",状态,未开始,进行中,已完成"</formula1>
    </dataValidation>
    <dataValidation allowBlank="true" errorStyle="stop" showErrorMessage="true" sqref="I3" type="list">
      <formula1>"顾总,李磊,符灵建,张文慧,应致标,李静,张检"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