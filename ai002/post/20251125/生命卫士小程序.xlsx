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<sst xmlns="http://schemas.openxmlformats.org/spreadsheetml/2006/main" count="3" uniqueCount="3">
  <si>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</si>
  <si>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9.75"/>
        <color rgb="FF000000"/>
        <rFont val="Calibri"/>
        <family val="2"/>
      </rPr>
      <t>手表设备（腕式专业健康预警管家、动态心电记录仪（24小时）、心电记录仪）新增、修改、删除、查询，手表设备详情，手表设备设置（在线时，警报提醒、定位及定位周期、心率测量与警报设置、血氧测量与警报设置）、</t>
    </r>
    <r>
      <rPr>
        <sz val="9.75"/>
        <color rgb="FF1F2329"/>
        <rFont val="Calibri"/>
        <family val="2"/>
      </rPr>
      <t>用户详情</t>
    </r>
  </si>
  <si>
    <t/>
    <r>
      <rPr>
        <sz val="9.75"/>
        <color rgb="FF000000"/>
        <rFont val="Calibri"/>
        <family val="2"/>
      </rPr>
      <t>仪器设备（臂式电子血压计、血糖尿酸血脂仪）新增、修改、删除、查询，</t>
    </r>
    <r>
      <rPr>
        <sz val="9.75"/>
        <color rgb="FF1F2329"/>
        <rFont val="Calibri"/>
        <family val="2"/>
      </rPr>
      <t>用户详情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</si>
</sst>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horizontal="left" vertical="center" wrapText="true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8"/>
    <col collapsed="false" customWidth="true" hidden="false" max="3" min="3" style="0" width="22"/>
    <col collapsed="false" customWidth="true" hidden="false" max="4" min="4" style="0" width="63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6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/>
      <c r="B1" s="3" t="str">
        <v>需求模块</v>
      </c>
      <c r="C1" s="1" t="str">
        <v>需求</v>
      </c>
      <c r="D1" s="3" t="str">
        <v>需求描述</v>
      </c>
      <c r="E1" s="7" t="str">
        <v>需求设计</v>
      </c>
      <c r="F1" s="7" t="str">
        <v>UI</v>
      </c>
      <c r="G1" s="7" t="str">
        <v>前端工作量</v>
      </c>
      <c r="H1" s="7" t="str">
        <v>后端工作量</v>
      </c>
      <c r="I1" s="7" t="str">
        <v>测试</v>
      </c>
      <c r="J1" s="7" t="str">
        <v>部署上线</v>
      </c>
      <c r="K1" s="2"/>
      <c r="L1" s="2"/>
      <c r="M1" s="2"/>
      <c r="N1" s="2"/>
      <c r="O1" s="2"/>
      <c r="P1" s="2"/>
      <c r="Q1" s="2"/>
      <c r="R1" s="2"/>
      <c r="S1" s="2"/>
      <c r="T1" s="2"/>
    </row>
    <row customHeight="true" ht="27" r="2">
      <c r="A2" s="1" t="str">
        <v>生命卫士
管理端</v>
      </c>
      <c r="B2" s="3" t="str">
        <v>首页</v>
      </c>
      <c r="C2" s="1" t="str">
        <v>生命卫士健康大屏统计展示</v>
      </c>
      <c r="D2" s="5" t="str">
        <v>医生工作台概览，查看用户情况统计、用户增长趋势、智能设备分布、健康警报、单病种排名等情况</v>
      </c>
      <c r="E2" s="1">
        <v>5</v>
      </c>
      <c r="F2" s="1"/>
      <c r="G2" s="1">
        <v>5</v>
      </c>
      <c r="H2" s="1">
        <v>10</v>
      </c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1"/>
      <c r="B3" s="3" t="str">
        <v>系统管理</v>
      </c>
      <c r="C3" s="1" t="str">
        <v>管理员管理</v>
      </c>
      <c r="D3" s="4" t="str">
        <v>支持对管理员进行设置，查询、增加、删除、修改、导入、导出管理员信息</v>
      </c>
      <c r="E3" s="1"/>
      <c r="F3" s="1"/>
      <c r="G3" s="1">
        <v>2</v>
      </c>
      <c r="H3" s="1">
        <v>2</v>
      </c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1"/>
      <c r="B4" s="3"/>
      <c r="C4" s="1" t="str">
        <v>角色管理</v>
      </c>
      <c r="D4" s="4" t="str">
        <v>支持对角色进行配置，查询角色、增加角色、修改角色、删除角色和导出角色</v>
      </c>
      <c r="E4" s="1"/>
      <c r="F4" s="1"/>
      <c r="G4" s="1">
        <v>2</v>
      </c>
      <c r="H4" s="1">
        <v>2</v>
      </c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1"/>
      <c r="B5" s="3"/>
      <c r="C5" s="1" t="str">
        <v>部门管理</v>
      </c>
      <c r="D5" s="4" t="str">
        <v>对所属部门进行查询、增加、修改</v>
      </c>
      <c r="E5" s="1"/>
      <c r="F5" s="1"/>
      <c r="G5" s="1">
        <v>2</v>
      </c>
      <c r="H5" s="1">
        <v>2</v>
      </c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1"/>
      <c r="B6" s="3" t="str">
        <v>设备管理</v>
      </c>
      <c r="C6" s="1" t="str">
        <v>手表设备列表</v>
      </c>
      <c r="D6" s="3" t="s">
        <v>1</v>
      </c>
      <c r="E6" s="1">
        <v>2</v>
      </c>
      <c r="F6" s="1"/>
      <c r="G6" s="1">
        <v>8</v>
      </c>
      <c r="H6" s="1">
        <v>10</v>
      </c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"/>
      <c r="B7" s="3"/>
      <c r="C7" s="1" t="str">
        <v>仪器设备列表</v>
      </c>
      <c r="D7" s="3" t="s">
        <v>2</v>
      </c>
      <c r="E7" s="1"/>
      <c r="F7" s="1"/>
      <c r="G7" s="1">
        <v>2</v>
      </c>
      <c r="H7" s="1">
        <v>3</v>
      </c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"/>
      <c r="B8" s="3" t="str">
        <v>用户管理</v>
      </c>
      <c r="C8" s="1" t="str">
        <v>设备用户列表</v>
      </c>
      <c r="D8" s="3" t="str">
        <v>用户查询、用户详情（健康监测数据（心脏健康、心率失常、睡眠、血氧饱和度、运动记录、情绪健康、血压、体温、血糖、血脂、体重、心电图）、警报信息、用户标签、用户画像、健康档案、周期报告、定制报告、AI报告识别、足迹、量表问卷（饮食筛查问卷_湘、体重健康评估、血脂健康风险评估、心脑血管风险评估、血糖健康风险评估、血压测量评估、基础初筛睡眠障碍问卷、幸福指数自评、ESS嗜睡量表、运动问卷）、病历历程、转诊、历史转诊）、用户启停用</v>
      </c>
      <c r="E8" s="1">
        <v>6</v>
      </c>
      <c r="F8" s="1"/>
      <c r="G8" s="1">
        <v>50</v>
      </c>
      <c r="H8" s="1">
        <v>43</v>
      </c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"/>
      <c r="B9" s="3"/>
      <c r="C9" s="1" t="str">
        <v>用户地图</v>
      </c>
      <c r="D9" s="3" t="str">
        <v>用户地图统计、风险人群统计分析、用户年龄分布</v>
      </c>
      <c r="E9" s="1">
        <v>10</v>
      </c>
      <c r="F9" s="1"/>
      <c r="G9" s="1">
        <v>5</v>
      </c>
      <c r="H9" s="1">
        <v>3</v>
      </c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1"/>
      <c r="B10" s="3" t="str">
        <v>监控管理</v>
      </c>
      <c r="C10" s="8" t="str">
        <v>设备地图</v>
      </c>
      <c r="D10" s="3" t="str">
        <v>地图上显示设备分布，并在右侧显示设备总数、激活数量、连接状态等情况</v>
      </c>
      <c r="E10" s="1"/>
      <c r="F10" s="1"/>
      <c r="G10" s="1">
        <v>5</v>
      </c>
      <c r="H10" s="1">
        <v>3</v>
      </c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1"/>
      <c r="B11" s="3"/>
      <c r="C11" s="1" t="str">
        <v>智能围栏</v>
      </c>
      <c r="D11" s="3" t="str">
        <v>展示设置围栏的用户、设备、围栏名称、围栏地址等情况</v>
      </c>
      <c r="E11" s="1"/>
      <c r="F11" s="1"/>
      <c r="G11" s="1">
        <v>10</v>
      </c>
      <c r="H11" s="1">
        <v>5</v>
      </c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1"/>
      <c r="B12" s="3"/>
      <c r="C12" s="1" t="str">
        <v>手表报警信息</v>
      </c>
      <c r="D12" s="3" t="str">
        <v>查询手表报警情况，展示手表报警详情，包含姓名、手机号、报警类型、报警内容等</v>
      </c>
      <c r="E12" s="1"/>
      <c r="F12" s="1"/>
      <c r="G12" s="1">
        <v>2</v>
      </c>
      <c r="H12" s="1">
        <v>5</v>
      </c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1"/>
      <c r="B13" s="3"/>
      <c r="C13" s="1" t="str">
        <v>异常健康</v>
      </c>
      <c r="D13" s="3" t="str">
        <v>展示用户异常健康情况、包含姓名、性别、年龄、手机号、健康风险等级等</v>
      </c>
      <c r="E13" s="1"/>
      <c r="F13" s="1"/>
      <c r="G13" s="1">
        <v>4</v>
      </c>
      <c r="H13" s="1">
        <v>2</v>
      </c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1"/>
      <c r="B14" s="3" t="str">
        <v>服务管理</v>
      </c>
      <c r="C14" s="1" t="str">
        <v>手表SOS呼叫</v>
      </c>
      <c r="D14" s="3" t="str">
        <v>呼叫列表及呼叫信息查看，包含姓名、联系电话、呼叫时间、紧急联系号码等</v>
      </c>
      <c r="E14" s="1"/>
      <c r="F14" s="1"/>
      <c r="G14" s="1">
        <v>2</v>
      </c>
      <c r="H14" s="1">
        <v>2</v>
      </c>
      <c r="I14" s="1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1"/>
      <c r="B15" s="3" t="str">
        <v>医疗健康管理</v>
      </c>
      <c r="C15" s="1" t="str">
        <v>医疗报告专家解读</v>
      </c>
      <c r="D15" s="3" t="str">
        <v>展示已提交未解读和已解读的日常报告，包含用户姓名、手机号、性别、年龄和报告类型等</v>
      </c>
      <c r="E15" s="1"/>
      <c r="F15" s="1"/>
      <c r="G15" s="1">
        <v>2</v>
      </c>
      <c r="H15" s="1">
        <v>2</v>
      </c>
      <c r="I15" s="1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1"/>
      <c r="B16" s="3"/>
      <c r="C16" s="1" t="str">
        <v>健康月报专家解读</v>
      </c>
      <c r="D16" s="3" t="str">
        <v>展示已提交未解读和已解读的月度报告，包含用户姓名、手机号、性别、年龄和报告类型等</v>
      </c>
      <c r="E16" s="1"/>
      <c r="F16" s="1"/>
      <c r="G16" s="1">
        <v>2</v>
      </c>
      <c r="H16" s="1">
        <v>2</v>
      </c>
      <c r="I16" s="1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1"/>
      <c r="B17" s="3" t="str">
        <v>智能客服</v>
      </c>
      <c r="C17" s="1" t="str">
        <v>用户沟通</v>
      </c>
      <c r="D17" s="3" t="str">
        <v>展示用户沟通聊天情况，包含心脏类、睡眠类、健康类、软件/设备类，包含待处理、已回复、已处理等消息</v>
      </c>
      <c r="E17" s="1"/>
      <c r="F17" s="1"/>
      <c r="G17" s="1">
        <v>4</v>
      </c>
      <c r="H17" s="1">
        <v>8</v>
      </c>
      <c r="I17" s="1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</row>
    <row customHeight="true" ht="33" r="18">
      <c r="A18" s="1"/>
      <c r="B18" s="3" t="str">
        <v>个人中心</v>
      </c>
      <c r="C18" s="1" t="str">
        <v>个人中心</v>
      </c>
      <c r="D18" s="1" t="str">
        <v>进行基本资料信息维护，包含用户昵称、手机号码、邮箱、性别及修改密码操作</v>
      </c>
      <c r="E18" s="1"/>
      <c r="F18" s="1"/>
      <c r="G18" s="1">
        <v>1</v>
      </c>
      <c r="H18" s="1">
        <v>2</v>
      </c>
      <c r="I18" s="1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4" t="str">
        <v>生命卫士
个人端</v>
      </c>
      <c r="B19" s="5" t="str">
        <v>首页</v>
      </c>
      <c r="C19" s="4" t="str">
        <v>用户切换</v>
      </c>
      <c r="D19" s="3" t="str">
        <v>切换自己和亲友功能，进行亲友关联和切换</v>
      </c>
      <c r="E19" s="1">
        <v>8</v>
      </c>
      <c r="F19" s="1"/>
      <c r="G19" s="1">
        <v>2</v>
      </c>
      <c r="H19" s="1">
        <v>2</v>
      </c>
      <c r="I19" s="1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4"/>
      <c r="B20" s="5"/>
      <c r="C20" s="4" t="str">
        <v>绑定设备</v>
      </c>
      <c r="D20" s="3" t="str">
        <v>绑定设备支持绑定心电贴、手表、生化、血压等设备</v>
      </c>
      <c r="E20" s="1"/>
      <c r="F20" s="1"/>
      <c r="G20" s="1">
        <v>5</v>
      </c>
      <c r="H20" s="1">
        <v>3</v>
      </c>
      <c r="I20" s="1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4"/>
      <c r="B21" s="5"/>
      <c r="C21" s="4" t="str">
        <v>健康画像</v>
      </c>
      <c r="D21" s="3" t="str">
        <v>当前状态额健康画像及画像详解，进行健康方案推荐、控制目标、健康解读、风险解读</v>
      </c>
      <c r="E21" s="1"/>
      <c r="F21" s="1"/>
      <c r="G21" s="1">
        <v>5</v>
      </c>
      <c r="H21" s="1">
        <v>15</v>
      </c>
      <c r="I21" s="1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4"/>
      <c r="B22" s="5"/>
      <c r="C22" s="4" t="str">
        <v>高端增值服务</v>
      </c>
      <c r="D22" s="3" t="str">
        <v>支持全家版实时视频医生、体检报告解读、百强专家二诊、绿通等服务</v>
      </c>
      <c r="E22" s="1"/>
      <c r="F22" s="1"/>
      <c r="G22" s="1">
        <v>20</v>
      </c>
      <c r="H22" s="1">
        <v>20</v>
      </c>
      <c r="I22" s="1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4"/>
      <c r="B23" s="5"/>
      <c r="C23" s="4" t="str">
        <v>心脏健康</v>
      </c>
      <c r="D23" s="3" t="str">
        <v>对各个设备测量的心脏健康数据进行关联，包含心电图数据、心率数据、心率变异性数据，支持进行健康测评和心脏健康百科查看</v>
      </c>
      <c r="E23" s="1">
        <v>6</v>
      </c>
      <c r="F23" s="1"/>
      <c r="G23" s="1">
        <v>15</v>
      </c>
      <c r="H23" s="1">
        <v>20</v>
      </c>
      <c r="I23" s="1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4"/>
      <c r="B24" s="5"/>
      <c r="C24" s="4" t="str">
        <v>睡眠</v>
      </c>
      <c r="D24" s="3" t="str">
        <v>支持进行睡眠障碍评估，进行健康测评和睡眠百科信息查看</v>
      </c>
      <c r="E24" s="1"/>
      <c r="F24" s="1"/>
      <c r="G24" s="1">
        <v>5</v>
      </c>
      <c r="H24" s="1">
        <v>15</v>
      </c>
      <c r="I24" s="1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4"/>
      <c r="B25" s="5"/>
      <c r="C25" s="4" t="str">
        <v>血压趋势</v>
      </c>
      <c r="D25" s="3" t="str">
        <v>查看最新的血压评级情况及进行血压测量操作，查看血压趋势、血压统计、进行健康测评和血压百科信息查看</v>
      </c>
      <c r="E25" s="1"/>
      <c r="F25" s="1"/>
      <c r="G25" s="1">
        <v>3</v>
      </c>
      <c r="H25" s="1">
        <v>10</v>
      </c>
      <c r="I25" s="1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4"/>
      <c r="B26" s="5"/>
      <c r="C26" s="4" t="str">
        <v>血氧</v>
      </c>
      <c r="D26" s="3" t="str">
        <v>查看血氧数据，进行健康测评和血氧百科信息查看</v>
      </c>
      <c r="E26" s="1"/>
      <c r="F26" s="1"/>
      <c r="G26" s="1">
        <v>3</v>
      </c>
      <c r="H26" s="1">
        <v>10</v>
      </c>
      <c r="I26" s="1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4"/>
      <c r="B27" s="5"/>
      <c r="C27" s="4" t="str">
        <v>体温</v>
      </c>
      <c r="D27" s="3" t="str">
        <v>查看提问数据，进行健康测评和体温百科信息查看</v>
      </c>
      <c r="E27" s="1"/>
      <c r="F27" s="1"/>
      <c r="G27" s="1">
        <v>3</v>
      </c>
      <c r="H27" s="1">
        <v>10</v>
      </c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4"/>
      <c r="B28" s="5"/>
      <c r="C28" s="4" t="str">
        <v>体重</v>
      </c>
      <c r="D28" s="3" t="str">
        <v>进行体重管理，进行体重评估，体重统计，健康测评和体重百科信息查看</v>
      </c>
      <c r="E28" s="1"/>
      <c r="F28" s="1"/>
      <c r="G28" s="1">
        <v>3</v>
      </c>
      <c r="H28" s="1">
        <v>10</v>
      </c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4"/>
      <c r="B29" s="5"/>
      <c r="C29" s="4" t="str">
        <v>生化</v>
      </c>
      <c r="D29" s="3" t="str">
        <v>查看生化信息，包含血糖、糖化血红戴白、低密度脂蛋白、高密度脂蛋白、总胆固醇信息，进行健康测评和血糖百科信息查看</v>
      </c>
      <c r="E29" s="1"/>
      <c r="F29" s="1"/>
      <c r="G29" s="1">
        <v>5</v>
      </c>
      <c r="H29" s="1">
        <v>15</v>
      </c>
      <c r="I29" s="1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4"/>
      <c r="B30" s="5"/>
      <c r="C30" s="4" t="str">
        <v>步数记录</v>
      </c>
      <c r="D30" s="3" t="str">
        <v>查看步数记录和本周信息概览，推荐运动信息和运动百科信息查看</v>
      </c>
      <c r="E30" s="1"/>
      <c r="F30" s="1"/>
      <c r="G30" s="1">
        <v>2</v>
      </c>
      <c r="H30" s="1">
        <v>5</v>
      </c>
      <c r="I30" s="1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4"/>
      <c r="B31" s="5" t="str">
        <v>AI助手</v>
      </c>
      <c r="C31" s="4" t="str">
        <v>AI助手</v>
      </c>
      <c r="D31" s="3" t="str">
        <v>使用专属ai助手，支持进行语音、文字问答，进行内容交互，及查看问答历史</v>
      </c>
      <c r="E31" s="1">
        <v>10</v>
      </c>
      <c r="F31" s="1"/>
      <c r="G31" s="1">
        <v>2</v>
      </c>
      <c r="H31" s="1">
        <v>3</v>
      </c>
      <c r="I31" s="1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4"/>
      <c r="B32" s="5" t="str">
        <v>健康</v>
      </c>
      <c r="C32" s="4" t="str">
        <v>评估问卷</v>
      </c>
      <c r="D32" s="3" t="str">
        <v>支持进行问卷评估，包含饮食筛查、体重健康、血脂健康风险、心脑血管风险、血糖健康风险、血压健康风险、幸福指数自评等</v>
      </c>
      <c r="E32" s="1"/>
      <c r="F32" s="1"/>
      <c r="G32" s="1">
        <v>5</v>
      </c>
      <c r="H32" s="1">
        <v>15</v>
      </c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4"/>
      <c r="B33" s="5"/>
      <c r="C33" s="4" t="str">
        <v>健康画像</v>
      </c>
      <c r="D33" s="3" t="str">
        <v>健康画像总览及详情解释，支持健康方案推荐、目标控制、健康解读及风险解读</v>
      </c>
      <c r="E33" s="1"/>
      <c r="F33" s="1"/>
      <c r="G33" s="1">
        <v>5</v>
      </c>
      <c r="H33" s="1">
        <v>15</v>
      </c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4"/>
      <c r="B34" s="5"/>
      <c r="C34" s="4" t="str">
        <v>健康月报</v>
      </c>
      <c r="D34" s="3" t="str">
        <v>包含每个月的健康解读报告，报告回顾个人健康情况、综合素质、房颤发生概率、推荐方案等</v>
      </c>
      <c r="E34" s="1"/>
      <c r="F34" s="1"/>
      <c r="G34" s="1">
        <v>5</v>
      </c>
      <c r="H34" s="1">
        <v>15</v>
      </c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4"/>
      <c r="B35" s="5"/>
      <c r="C35" s="4" t="str">
        <v>健康周报</v>
      </c>
      <c r="D35" s="3" t="str">
        <v>包含每周的健康解读报告，包含用户基本情况、健康风险情况及健康建议等</v>
      </c>
      <c r="E35" s="1"/>
      <c r="F35" s="1"/>
      <c r="G35" s="1">
        <v>5</v>
      </c>
      <c r="H35" s="1">
        <v>10</v>
      </c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4"/>
      <c r="B36" s="5"/>
      <c r="C36" s="4" t="str">
        <v>健康状况</v>
      </c>
      <c r="D36" s="3" t="str">
        <v>健康方案推荐、控制目标情况、健康解读</v>
      </c>
      <c r="E36" s="1"/>
      <c r="F36" s="1"/>
      <c r="G36" s="1">
        <v>5</v>
      </c>
      <c r="H36" s="1">
        <v>15</v>
      </c>
      <c r="I36" s="1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4"/>
      <c r="B37" s="5"/>
      <c r="C37" s="4" t="str">
        <v>科学生活</v>
      </c>
      <c r="D37" s="3" t="str">
        <v>早餐、午餐、加餐、晚餐及更多食物推荐，包含营养元素情况和制作要诀</v>
      </c>
      <c r="E37" s="1"/>
      <c r="F37" s="1"/>
      <c r="G37" s="1">
        <v>5</v>
      </c>
      <c r="H37" s="1">
        <v>10</v>
      </c>
      <c r="I37" s="1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4"/>
      <c r="B38" s="5"/>
      <c r="C38" s="4" t="str">
        <v>科学运动</v>
      </c>
      <c r="D38" s="3" t="str">
        <v>包含运动计划、运动评估及推荐运动情况</v>
      </c>
      <c r="E38" s="1"/>
      <c r="F38" s="1"/>
      <c r="G38" s="1">
        <v>5</v>
      </c>
      <c r="H38" s="1">
        <v>15</v>
      </c>
      <c r="I38" s="1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4"/>
      <c r="B39" s="5" t="str">
        <v>我的</v>
      </c>
      <c r="C39" s="4" t="str">
        <v>个人头像</v>
      </c>
      <c r="D39" s="3" t="str">
        <v>个人头像更换、拍照或从相册获取</v>
      </c>
      <c r="E39" s="1">
        <v>7</v>
      </c>
      <c r="F39" s="1"/>
      <c r="G39" s="1">
        <v>1</v>
      </c>
      <c r="H39" s="1">
        <v>2</v>
      </c>
      <c r="I39" s="1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4"/>
      <c r="B40" s="5"/>
      <c r="C40" s="4" t="str">
        <v>设备</v>
      </c>
      <c r="D40" s="3" t="str">
        <v>个人智能设备情况，进行添加、维护，包含心电贴、手表、血压、生化等设备</v>
      </c>
      <c r="E40" s="1"/>
      <c r="F40" s="1"/>
      <c r="G40" s="1">
        <v>10</v>
      </c>
      <c r="H40" s="1">
        <v>8</v>
      </c>
      <c r="I40" s="1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4"/>
      <c r="B41" s="5"/>
      <c r="C41" s="4" t="str">
        <v>亲友</v>
      </c>
      <c r="D41" s="3" t="str">
        <v>亲友管理，进行自己和亲友关系的维护，支持亲友关联和基本信息查看</v>
      </c>
      <c r="E41" s="1"/>
      <c r="F41" s="1"/>
      <c r="G41" s="1">
        <v>3</v>
      </c>
      <c r="H41" s="1">
        <v>5</v>
      </c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4"/>
      <c r="B42" s="5"/>
      <c r="C42" s="4" t="str">
        <v>高端增值服务</v>
      </c>
      <c r="D42" s="3" t="str">
        <v>是否购买高端增值服务和高端增值服务权益介绍，包含全家版实时视频医生、在线购药及送药上门、单导动态心电解读、单导静态心电解读等</v>
      </c>
      <c r="E42" s="1"/>
      <c r="F42" s="1"/>
      <c r="G42" s="1">
        <v>2</v>
      </c>
      <c r="H42" s="1">
        <v>5</v>
      </c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4"/>
      <c r="B43" s="5"/>
      <c r="C43" s="4" t="str">
        <v>家庭健康报告</v>
      </c>
      <c r="D43" s="3" t="str">
        <v>查看家庭成员的健康报告，进行切换，查看不同家庭成员的基本情况</v>
      </c>
      <c r="E43" s="1"/>
      <c r="F43" s="1"/>
      <c r="G43" s="1">
        <v>2</v>
      </c>
      <c r="H43" s="1">
        <v>5</v>
      </c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4"/>
      <c r="B44" s="5"/>
      <c r="C44" s="4" t="str">
        <v>健康档案</v>
      </c>
      <c r="D44" s="3" t="str">
        <v>维护成员健康档案信息，包含姓名、年龄、身高、体重、咨询记录、用药记录等基本情况</v>
      </c>
      <c r="E44" s="1"/>
      <c r="F44" s="1"/>
      <c r="G44" s="1">
        <v>5</v>
      </c>
      <c r="H44" s="1">
        <v>10</v>
      </c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4"/>
      <c r="B45" s="5"/>
      <c r="C45" s="4" t="str">
        <v>服务记录</v>
      </c>
      <c r="D45" s="3" t="str">
        <v>查看服务记录情况，包含正在服务和已经完成的会员及家属详情记录</v>
      </c>
      <c r="E45" s="1"/>
      <c r="F45" s="1"/>
      <c r="G45" s="1">
        <v>3</v>
      </c>
      <c r="H45" s="1">
        <v>5</v>
      </c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4"/>
      <c r="B46" s="5"/>
      <c r="C46" s="4" t="str">
        <v>药品订单</v>
      </c>
      <c r="D46" s="3" t="str">
        <v>查看药品订单记录，送药到家的详情信息，药物名称、数量、金额等详情</v>
      </c>
      <c r="E46" s="1"/>
      <c r="F46" s="1"/>
      <c r="G46" s="1">
        <v>3</v>
      </c>
      <c r="H46" s="1">
        <v>5</v>
      </c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4"/>
      <c r="B47" s="5"/>
      <c r="C47" s="4" t="str">
        <v>个人详情</v>
      </c>
      <c r="D47" s="3" t="str">
        <v>维护昵称、性别、生日、手机号、所在地区、真实姓名、证件号码、体重等个人基本信息</v>
      </c>
      <c r="E47" s="1"/>
      <c r="F47" s="1"/>
      <c r="G47" s="1">
        <v>2</v>
      </c>
      <c r="H47" s="1">
        <v>2</v>
      </c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1" t="str">
        <v>对接</v>
      </c>
      <c r="B48" s="3" t="str">
        <v>设备</v>
      </c>
      <c r="C48" s="1" t="str">
        <v>设备</v>
      </c>
      <c r="D48" s="3" t="str">
        <v>HELOWIN WATCH H1、TE5100Y-C（心电贴）、TE-5200Y-C（心电卡片）、TE-7000Y-C（117血压计）、M101 Air（血糖、尿酸、总胆固醇）</v>
      </c>
      <c r="E48" s="1"/>
      <c r="F48" s="1"/>
      <c r="G48" s="1">
        <v>25</v>
      </c>
      <c r="H48" s="1">
        <v>35</v>
      </c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1"/>
      <c r="B49" s="3" t="str">
        <v>服务</v>
      </c>
      <c r="C49" s="1" t="str">
        <v>服务</v>
      </c>
      <c r="D49" s="3" t="str">
        <v>联仁高端增值服务，视频医生、在线购药、送药上门等</v>
      </c>
      <c r="E49" s="1"/>
      <c r="F49" s="1"/>
      <c r="G49" s="1">
        <v>10</v>
      </c>
      <c r="H49" s="1">
        <v>35</v>
      </c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1" t="str">
        <v>合计</v>
      </c>
      <c r="B50" s="3"/>
      <c r="C50" s="1"/>
      <c r="D50" s="3"/>
      <c r="E50" s="1">
        <f>SUM(E2:E49)</f>
      </c>
      <c r="F50" s="1">
        <f>SUM(F2:F49)</f>
      </c>
      <c r="G50" s="1">
        <f>SUM(G2:G49)</f>
      </c>
      <c r="H50" s="1">
        <f>SUM(H2:H49)</f>
      </c>
      <c r="I50" s="1">
        <f>SUM(I2:I49)</f>
      </c>
      <c r="J50" s="1">
        <f>SUM(J2:J49)</f>
      </c>
      <c r="K50" s="2">
        <f>SUM(E50:J50)</f>
      </c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6"/>
      <c r="C51" s="2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6"/>
      <c r="C52" s="2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6"/>
      <c r="C53" s="2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6"/>
      <c r="C54" s="2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6"/>
      <c r="C55" s="2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6"/>
      <c r="C56" s="2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6"/>
      <c r="C57" s="2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6"/>
      <c r="C58" s="2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6"/>
      <c r="C59" s="2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6"/>
      <c r="C60" s="2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6"/>
      <c r="C61" s="2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6"/>
      <c r="C62" s="2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6"/>
      <c r="C63" s="2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6"/>
      <c r="C64" s="2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6"/>
      <c r="C65" s="2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6"/>
      <c r="C66" s="2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6"/>
      <c r="C67" s="2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6"/>
      <c r="C68" s="2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6"/>
      <c r="C69" s="2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6"/>
      <c r="C70" s="2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6"/>
      <c r="C71" s="2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6"/>
      <c r="C72" s="2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6"/>
      <c r="C73" s="2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6"/>
      <c r="C74" s="2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6"/>
      <c r="C75" s="2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6"/>
      <c r="C76" s="2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6"/>
      <c r="C77" s="2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6"/>
      <c r="C78" s="2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6"/>
      <c r="C79" s="2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6"/>
      <c r="C80" s="2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6"/>
      <c r="C81" s="2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6"/>
      <c r="C82" s="2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6"/>
      <c r="C83" s="2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6"/>
      <c r="C84" s="2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6"/>
      <c r="C85" s="2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6"/>
      <c r="C86" s="2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6"/>
      <c r="C87" s="2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6"/>
      <c r="C88" s="2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6"/>
      <c r="C89" s="2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6"/>
      <c r="C90" s="2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6"/>
      <c r="C91" s="2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6"/>
      <c r="C92" s="2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6"/>
      <c r="C93" s="2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6"/>
      <c r="C94" s="2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6"/>
      <c r="C95" s="2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6"/>
      <c r="C96" s="2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6"/>
      <c r="C97" s="2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6"/>
      <c r="C98" s="2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6"/>
      <c r="C99" s="2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6"/>
      <c r="C100" s="2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6"/>
      <c r="C101" s="2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6"/>
      <c r="C102" s="2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6"/>
      <c r="C103" s="2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6"/>
      <c r="C104" s="2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6"/>
      <c r="C105" s="2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6"/>
      <c r="C106" s="2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6"/>
      <c r="C107" s="2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6"/>
      <c r="C108" s="2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6"/>
      <c r="C109" s="2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6"/>
      <c r="C110" s="2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6"/>
      <c r="C111" s="2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6"/>
      <c r="C112" s="2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6"/>
      <c r="C113" s="2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6"/>
      <c r="C114" s="2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6"/>
      <c r="C115" s="2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6"/>
      <c r="C116" s="2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6"/>
      <c r="C117" s="2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6"/>
      <c r="C118" s="2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6"/>
      <c r="C119" s="2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6"/>
      <c r="C120" s="2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6"/>
      <c r="C121" s="2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6"/>
      <c r="C122" s="2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6"/>
      <c r="C123" s="2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6"/>
      <c r="C124" s="2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6"/>
      <c r="C125" s="2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6"/>
      <c r="C126" s="2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6"/>
      <c r="C127" s="2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6"/>
      <c r="C128" s="2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6"/>
      <c r="C129" s="2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6"/>
      <c r="C130" s="2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6"/>
      <c r="C131" s="2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6"/>
      <c r="C132" s="2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6"/>
      <c r="C133" s="2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6"/>
      <c r="C134" s="2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6"/>
      <c r="C135" s="2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6"/>
      <c r="C136" s="2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6"/>
      <c r="C137" s="2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6"/>
      <c r="C138" s="2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6"/>
      <c r="C139" s="2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6"/>
      <c r="C140" s="2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6"/>
      <c r="C141" s="2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6"/>
      <c r="C142" s="2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6"/>
      <c r="C143" s="2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6"/>
      <c r="C144" s="2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6"/>
      <c r="C145" s="2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6"/>
      <c r="C146" s="2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6"/>
      <c r="C147" s="2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6"/>
      <c r="C148" s="2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6"/>
      <c r="C149" s="2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6"/>
      <c r="C150" s="2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6"/>
      <c r="C151" s="2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6"/>
      <c r="C152" s="2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6"/>
      <c r="C153" s="2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6"/>
      <c r="C154" s="2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6"/>
      <c r="C155" s="2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6"/>
      <c r="C156" s="2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6"/>
      <c r="C157" s="2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6"/>
      <c r="C158" s="2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6"/>
      <c r="C159" s="2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6"/>
      <c r="C160" s="2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6"/>
      <c r="C161" s="2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6"/>
      <c r="C162" s="2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6"/>
      <c r="C163" s="2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6"/>
      <c r="C164" s="2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6"/>
      <c r="C165" s="2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6"/>
      <c r="C166" s="2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6"/>
      <c r="C167" s="2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6"/>
      <c r="C168" s="2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6"/>
      <c r="C169" s="2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6"/>
      <c r="C170" s="2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6"/>
      <c r="C171" s="2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6"/>
      <c r="C172" s="2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6"/>
      <c r="C173" s="2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6"/>
      <c r="C174" s="2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6"/>
      <c r="C175" s="2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6"/>
      <c r="C176" s="2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6"/>
      <c r="C177" s="2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6"/>
      <c r="C178" s="2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6"/>
      <c r="C179" s="2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6"/>
      <c r="C180" s="2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6"/>
      <c r="C181" s="2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6"/>
      <c r="C182" s="2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6"/>
      <c r="C183" s="2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6"/>
      <c r="C184" s="2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6"/>
      <c r="C185" s="2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6"/>
      <c r="C186" s="2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6"/>
      <c r="C187" s="2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6"/>
      <c r="C188" s="2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6"/>
      <c r="C189" s="2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6"/>
      <c r="C190" s="2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6"/>
      <c r="C191" s="2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6"/>
      <c r="C192" s="2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6"/>
      <c r="C193" s="2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6"/>
      <c r="C194" s="2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6"/>
      <c r="C195" s="2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6"/>
      <c r="C196" s="2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6"/>
      <c r="C197" s="2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6"/>
      <c r="C198" s="2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6"/>
      <c r="C199" s="2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/>
      <c r="B200" s="6"/>
      <c r="C200" s="2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/>
      <c r="B201" s="6"/>
      <c r="C201" s="2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/>
      <c r="B202" s="6"/>
      <c r="C202" s="2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</sheetData>
  <mergeCells>
    <mergeCell ref="B3:B5"/>
    <mergeCell ref="B6:B7"/>
    <mergeCell ref="B8:B9"/>
    <mergeCell ref="B10:B13"/>
    <mergeCell ref="B15:B16"/>
    <mergeCell ref="B19:B30"/>
    <mergeCell ref="B32:B38"/>
    <mergeCell ref="B39:B47"/>
    <mergeCell ref="A2:A18"/>
    <mergeCell ref="A19:A47"/>
    <mergeCell ref="A48:A49"/>
    <mergeCell ref="E23:E30"/>
    <mergeCell ref="E31:E38"/>
    <mergeCell ref="E39:E47"/>
    <mergeCell ref="E9:E18"/>
    <mergeCell ref="E2:E5"/>
    <mergeCell ref="E6:E7"/>
    <mergeCell ref="E19:E22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