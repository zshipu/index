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现网硬件情况" sheetId="2" r:id="rId5"/>
    <sheet name="线上磁盘空间情况" sheetId="3" r:id="rId6"/>
    <sheet name="2023预申请" sheetId="4" r:id="rId7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<sst xmlns="http://schemas.openxmlformats.org/spreadsheetml/2006/main" count="7" uniqueCount="7">
  <si>
    <t xml:space="preserve">  </t>
  </si>
  <si>
    <t/>
    <r>
      <rPr>
        <sz val="10"/>
        <color rgb="FF000000"/>
        <rFont val="Calibri"/>
        <family val="2"/>
      </rPr>
      <t xml:space="preserve">总结：
1. 内存-----------现在业务8个节点，内存都在 80%以上， 支持目前1代心电贴的数据解压。
    </t>
    </r>
    <r>
      <rPr>
        <b/>
        <sz val="10"/>
        <color rgb="FF6425D0"/>
        <rFont val="Calibri"/>
        <family val="2"/>
      </rPr>
      <t>问题：</t>
    </r>
    <r>
      <rPr>
        <sz val="10"/>
        <color rgb="FF000000"/>
        <rFont val="Calibri"/>
        <family val="2"/>
      </rPr>
      <t xml:space="preserve">增加二代，内存已存在瓶颈
    </t>
    </r>
    <r>
      <rPr>
        <b/>
        <sz val="10"/>
        <color rgb="FF2EA121"/>
        <rFont val="Calibri"/>
        <family val="2"/>
      </rPr>
      <t>建议：</t>
    </r>
    <r>
      <rPr>
        <sz val="10"/>
        <color rgb="FF000000"/>
        <rFont val="Calibri"/>
        <family val="2"/>
      </rPr>
      <t xml:space="preserve">新增4个节点（未新增）2022-11-25
</t>
    </r>
    <r>
      <rPr>
        <b/>
        <sz val="10"/>
        <color rgb="FF2EA121"/>
        <rFont val="Calibri"/>
        <family val="2"/>
      </rPr>
      <t xml:space="preserve">    解决：目前没有新增4个节点，但是进行了解压流程改造，动态解决大部分已经迁移到算法服务侧，排队解压处理
</t>
    </r>
    <r>
      <rPr>
        <sz val="10"/>
        <color rgb="FF000000"/>
        <rFont val="Calibri"/>
        <family val="2"/>
      </rPr>
      <t xml:space="preserve">               减轻部分压力
2. 共享磁盘----主要存放  </t>
    </r>
    <r>
      <rPr>
        <b/>
        <sz val="10"/>
        <color rgb="FFF54A45"/>
        <rFont val="Calibri"/>
        <family val="2"/>
      </rPr>
      <t>PDF报告（较大）</t>
    </r>
    <r>
      <rPr>
        <sz val="10"/>
        <color rgb="FF000000"/>
        <rFont val="Calibri"/>
        <family val="2"/>
      </rPr>
      <t xml:space="preserve">，用头像，每天记录3秒缩略图，业务图片，网站静态资源等
    </t>
    </r>
    <r>
      <rPr>
        <b/>
        <sz val="10"/>
        <color rgb="FF380D82"/>
        <rFont val="Calibri"/>
        <family val="2"/>
      </rPr>
      <t>问题：</t>
    </r>
    <r>
      <rPr>
        <sz val="10"/>
        <color rgb="FF000000"/>
        <rFont val="Calibri"/>
        <family val="2"/>
      </rPr>
      <t xml:space="preserve"> 每天增长10GB，还有280GB，</t>
    </r>
    <r>
      <rPr>
        <b/>
        <sz val="10"/>
        <color rgb="FFF54A45"/>
        <rFont val="Calibri"/>
        <family val="2"/>
      </rPr>
      <t xml:space="preserve">28天后耗尽，紧急处理
</t>
    </r>
    <r>
      <rPr>
        <sz val="10"/>
        <color rgb="FF000000"/>
        <rFont val="Calibri"/>
        <family val="2"/>
      </rPr>
      <t xml:space="preserve">    </t>
    </r>
    <r>
      <rPr>
        <b/>
        <sz val="10"/>
        <color rgb="FF2EA121"/>
        <rFont val="Calibri"/>
        <family val="2"/>
      </rPr>
      <t xml:space="preserve">建议：
</t>
    </r>
    <r>
      <rPr>
        <sz val="10"/>
        <color rgb="FF000000"/>
        <rFont val="Calibri"/>
        <family val="2"/>
      </rPr>
      <t xml:space="preserve">           a. 扩充磁盘  
           b. 大数据紧急提供文件存储接口（不建议，性能不好，业务文件是需要经常被访问）
    </t>
    </r>
    <r>
      <rPr>
        <b/>
        <sz val="10"/>
        <color rgb="FF2EA121"/>
        <rFont val="Calibri"/>
        <family val="2"/>
      </rPr>
      <t>解决：部分数据迁移到大数据磁盘，通过nginx代理</t>
    </r>
  </si>
  <si>
    <t/>
    <r>
      <rPr>
        <sz val="10"/>
        <color rgb="FF000000"/>
        <rFont val="Calibri"/>
        <family val="2"/>
      </rPr>
      <t>分布式文件存储中心、</t>
    </r>
    <r>
      <rPr>
        <b/>
        <sz val="10"/>
        <color rgb="FFDC9B04"/>
        <rFont val="Calibri"/>
        <family val="2"/>
      </rPr>
      <t>日志中心（存储）</t>
    </r>
  </si>
  <si>
    <t/>
    <r>
      <rPr>
        <sz val="10"/>
        <color rgb="FF000000"/>
        <rFont val="Calibri"/>
        <family val="2"/>
      </rPr>
      <t>应用节点、</t>
    </r>
    <r>
      <rPr>
        <b/>
        <sz val="10"/>
        <color rgb="FF6425D0"/>
        <rFont val="Calibri"/>
        <family val="2"/>
      </rPr>
      <t>负载均衡节点</t>
    </r>
  </si>
  <si>
    <t/>
    <r>
      <rPr>
        <sz val="10"/>
        <color rgb="FF000000"/>
        <rFont val="Calibri"/>
        <family val="2"/>
      </rPr>
      <t>应用节点、</t>
    </r>
    <r>
      <rPr>
        <b/>
        <sz val="10"/>
        <color rgb="FFDC9B04"/>
        <rFont val="Calibri"/>
        <family val="2"/>
      </rPr>
      <t>日志中心（存储）</t>
    </r>
  </si>
  <si>
    <t/>
    <r>
      <rPr>
        <sz val="10"/>
        <color rgb="FF000000"/>
        <rFont val="Calibri"/>
        <family val="2"/>
      </rPr>
      <t>应用节点、运营中心、</t>
    </r>
    <r>
      <rPr>
        <b/>
        <sz val="10"/>
        <color rgb="FFF54A45"/>
        <rFont val="Calibri"/>
        <family val="2"/>
      </rPr>
      <t>消息中心</t>
    </r>
  </si>
  <si>
    <t/>
    <r>
      <rPr>
        <sz val="10"/>
        <color rgb="FF000000"/>
        <rFont val="Calibri"/>
        <family val="2"/>
      </rPr>
      <t>二类注册、FTP中心、</t>
    </r>
    <r>
      <rPr>
        <b/>
        <sz val="10"/>
        <color rgb="FFF54A45"/>
        <rFont val="Calibri"/>
        <family val="2"/>
      </rPr>
      <t>消息中心</t>
    </r>
    <r>
      <rPr>
        <sz val="10"/>
        <color rgb="FF000000"/>
        <rFont val="Calibri"/>
        <family val="2"/>
      </rPr>
      <t>、</t>
    </r>
    <r>
      <rPr>
        <b/>
        <sz val="10"/>
        <color rgb="FFDC9B04"/>
        <rFont val="Calibri"/>
        <family val="2"/>
      </rPr>
      <t>日志中心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</si>
</sst>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164" formatCode="0.00%"/>
    <numFmt numFmtId="165" formatCode="0.00%"/>
    <numFmt numFmtId="166" formatCode="0.00%"/>
    <numFmt numFmtId="167" formatCode="0.00%"/>
    <numFmt numFmtId="168" formatCode="0.00%"/>
    <numFmt numFmtId="169" formatCode="0.00%"/>
    <numFmt numFmtId="170" formatCode="0.00%"/>
    <numFmt numFmtId="171" formatCode="0.00%"/>
    <numFmt numFmtId="172" formatCode="0%"/>
  </numFmts>
  <fonts count="8"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 val="true"/>
      <sz val="10.25"/>
      <color rgb="FF1F2329"/>
      <name val="Calibri"/>
      <family val="2"/>
      <scheme val="minor"/>
    </font>
    <font>
      <b val="true"/>
      <sz val="10"/>
      <color rgb="FF1F2329"/>
      <name val="Calibri"/>
      <family val="2"/>
      <scheme val="minor"/>
    </font>
    <font>
      <b val="true"/>
      <sz val="10"/>
      <color rgb="FF000000"/>
      <name val="Calibri"/>
      <family val="2"/>
      <scheme val="minor"/>
    </font>
    <font>
      <b val="true"/>
      <sz val="10.25"/>
      <color rgb="FF33B5E5"/>
      <name val="Calibri"/>
      <family val="2"/>
      <scheme val="minor"/>
    </font>
    <font>
      <b val="true"/>
      <sz val="10"/>
      <color rgb="FF33B5E5"/>
      <name val="Calibri"/>
      <family val="2"/>
      <scheme val="minor"/>
    </font>
    <font>
      <sz val="10"/>
      <color rgb="FFF54A45"/>
      <name val="Calibri"/>
      <family val="2"/>
      <scheme val="minor"/>
    </font>
  </fonts>
  <fills count="15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BBFBC"/>
        <bgColor/>
      </patternFill>
    </fill>
    <fill>
      <patternFill patternType="solid">
        <fgColor rgb="FFD83931"/>
        <bgColor/>
      </patternFill>
    </fill>
    <fill>
      <patternFill patternType="solid">
        <fgColor rgb="FFFBBFBC"/>
        <bgColor/>
      </patternFill>
    </fill>
    <fill>
      <patternFill patternType="solid">
        <fgColor rgb="FFBACEFD"/>
        <bgColor/>
      </patternFill>
    </fill>
    <fill>
      <patternFill patternType="solid">
        <fgColor rgb="FFBACEFD"/>
        <bgColor/>
      </patternFill>
    </fill>
    <fill>
      <patternFill patternType="solid">
        <fgColor rgb="FFF76964"/>
        <bgColor/>
      </patternFill>
    </fill>
    <fill>
      <patternFill patternType="solid">
        <fgColor rgb="FFFBBFBC"/>
        <bgColor/>
      </patternFill>
    </fill>
    <fill>
      <patternFill patternType="solid">
        <fgColor rgb="FFF76964"/>
        <bgColor/>
      </patternFill>
    </fill>
    <fill>
      <patternFill patternType="solid">
        <fgColor rgb="FFD83931"/>
        <bgColor/>
      </patternFill>
    </fill>
    <fill>
      <patternFill patternType="solid">
        <fgColor rgb="FFF76964"/>
        <bgColor/>
      </patternFill>
    </fill>
    <fill>
      <patternFill patternType="solid">
        <fgColor rgb="FFFBBFBC"/>
        <bgColor/>
      </patternFill>
    </fill>
    <fill>
      <patternFill patternType="solid">
        <fgColor rgb="FFBACEFD"/>
        <bgColor/>
      </patternFill>
    </fill>
    <fill>
      <patternFill patternType="solid">
        <fgColor rgb="FFBACEFD"/>
        <bgColor/>
      </patternFill>
    </fill>
  </fills>
  <borders count="39"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9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left" vertical="top"/>
    </xf>
    <xf applyAlignment="true" applyBorder="false" applyFill="false" applyFont="true" applyNumberFormat="false" applyProtection="false" borderId="2" fillId="0" fontId="2" numFmtId="0" xfId="0">
      <alignment vertical="center" wrapText="true"/>
    </xf>
    <xf applyAlignment="true" applyBorder="false" applyFill="false" applyFont="true" applyNumberFormat="false" applyProtection="false" borderId="3" fillId="0" fontId="3" numFmtId="0" xfId="0">
      <alignment vertical="center" wrapText="true"/>
    </xf>
    <xf applyAlignment="true" applyBorder="false" applyFill="false" applyFont="true" applyNumberFormat="false" applyProtection="false" borderId="4" fillId="0" fontId="4" numFmtId="0" xfId="0">
      <alignment vertical="center"/>
    </xf>
    <xf applyAlignment="true" applyBorder="false" applyFill="false" applyFont="true" applyNumberFormat="false" applyProtection="false" borderId="5" fillId="0" fontId="3" numFmtId="0" xfId="0">
      <alignment vertical="center"/>
    </xf>
    <xf applyAlignment="true" applyBorder="false" applyFill="false" applyFont="true" applyNumberFormat="false" applyProtection="false" borderId="6" fillId="0" fontId="4" numFmtId="0" xfId="0">
      <alignment vertical="center"/>
    </xf>
    <xf applyAlignment="true" applyBorder="false" applyFill="true" applyFont="true" applyNumberFormat="true" applyProtection="false" borderId="7" fillId="2" fontId="2" numFmtId="164" xfId="0">
      <alignment vertical="center" wrapText="true"/>
    </xf>
    <xf applyAlignment="true" applyBorder="false" applyFill="true" applyFont="true" applyNumberFormat="true" applyProtection="false" borderId="8" fillId="3" fontId="2" numFmtId="165" xfId="0">
      <alignment vertical="center" wrapText="true"/>
    </xf>
    <xf applyAlignment="true" applyBorder="false" applyFill="false" applyFont="true" applyNumberFormat="false" applyProtection="false" borderId="9" fillId="0" fontId="4" numFmtId="0" xfId="0">
      <alignment vertical="center"/>
    </xf>
    <xf applyAlignment="true" applyBorder="false" applyFill="false" applyFont="true" applyNumberFormat="true" applyProtection="false" borderId="10" fillId="0" fontId="2" numFmtId="166" xfId="0">
      <alignment vertical="center" wrapText="true"/>
    </xf>
    <xf applyAlignment="true" applyBorder="false" applyFill="true" applyFont="true" applyNumberFormat="true" applyProtection="false" borderId="11" fillId="4" fontId="2" numFmtId="167" xfId="0">
      <alignment vertical="center" wrapText="true"/>
    </xf>
    <xf applyAlignment="true" applyBorder="false" applyFill="true" applyFont="true" applyNumberFormat="false" applyProtection="false" borderId="12" fillId="5" fontId="3" numFmtId="0" xfId="0">
      <alignment vertical="center" wrapText="true"/>
    </xf>
    <xf applyAlignment="true" applyBorder="false" applyFill="true" applyFont="true" applyNumberFormat="false" applyProtection="false" borderId="13" fillId="6" fontId="2" numFmtId="0" xfId="0">
      <alignment vertical="center" wrapText="true"/>
    </xf>
    <xf applyAlignment="true" applyBorder="false" applyFill="false" applyFont="true" applyNumberFormat="false" applyProtection="false" borderId="14" fillId="0" fontId="5" numFmtId="0" xfId="0">
      <alignment horizontal="left" vertical="center" wrapText="true"/>
    </xf>
    <xf applyAlignment="true" applyBorder="false" applyFill="false" applyFont="true" applyNumberFormat="false" applyProtection="false" borderId="15" fillId="0" fontId="6" numFmtId="0" xfId="0">
      <alignment horizontal="left" vertical="center" wrapText="true"/>
    </xf>
    <xf applyAlignment="true" applyBorder="false" applyFill="false" applyFont="true" applyNumberFormat="true" applyProtection="false" borderId="16" fillId="0" fontId="2" numFmtId="168" xfId="0">
      <alignment vertical="center" wrapText="true"/>
    </xf>
    <xf applyAlignment="true" applyBorder="false" applyFill="false" applyFont="true" applyNumberFormat="false" applyProtection="false" borderId="17" fillId="0" fontId="1" numFmtId="0" xfId="0">
      <alignment horizontal="left" vertical="center"/>
    </xf>
    <xf applyAlignment="true" applyBorder="false" applyFill="false" applyFont="true" applyNumberFormat="false" applyProtection="false" borderId="18" fillId="0" fontId="1" numFmtId="0" xfId="0">
      <alignment vertical="center"/>
    </xf>
    <xf applyAlignment="true" applyBorder="false" applyFill="false" applyFont="true" applyNumberFormat="false" applyProtection="false" borderId="19" fillId="0" fontId="3" numFmtId="0" xfId="0">
      <alignment vertical="center" wrapText="true"/>
    </xf>
    <xf applyAlignment="true" applyBorder="false" applyFill="true" applyFont="true" applyNumberFormat="true" applyProtection="false" borderId="20" fillId="7" fontId="2" numFmtId="169" xfId="0">
      <alignment vertical="center" wrapText="true"/>
    </xf>
    <xf applyAlignment="true" applyBorder="false" applyFill="false" applyFont="true" applyNumberFormat="false" applyProtection="false" borderId="21" fillId="0" fontId="3" numFmtId="0" xfId="0">
      <alignment vertical="center"/>
    </xf>
    <xf applyAlignment="true" applyBorder="false" applyFill="false" applyFont="true" applyNumberFormat="false" applyProtection="false" borderId="22" fillId="0" fontId="2" numFmtId="0" xfId="0">
      <alignment vertical="center" wrapText="true"/>
    </xf>
    <xf applyAlignment="true" applyBorder="false" applyFill="false" applyFont="true" applyNumberFormat="false" applyProtection="false" borderId="23" fillId="0" fontId="4" numFmtId="0" xfId="0">
      <alignment vertical="center"/>
    </xf>
    <xf applyAlignment="true" applyBorder="false" applyFill="true" applyFont="true" applyNumberFormat="true" applyProtection="false" borderId="24" fillId="8" fontId="2" numFmtId="170" xfId="0">
      <alignment vertical="center" wrapText="true"/>
    </xf>
    <xf applyAlignment="true" applyBorder="false" applyFill="true" applyFont="true" applyNumberFormat="true" applyProtection="false" borderId="25" fillId="9" fontId="2" numFmtId="171" xfId="0">
      <alignment vertical="center" wrapText="true"/>
    </xf>
    <xf applyAlignment="true" applyBorder="false" applyFill="true" applyFont="true" applyNumberFormat="true" applyProtection="false" borderId="26" fillId="10" fontId="1" numFmtId="172" xfId="0">
      <alignment vertical="center"/>
    </xf>
    <xf applyAlignment="true" applyBorder="false" applyFill="false" applyFont="true" applyNumberFormat="false" applyProtection="false" borderId="27" fillId="0" fontId="6" numFmtId="0" xfId="0">
      <alignment horizontal="left" vertical="center" wrapText="true"/>
    </xf>
    <xf applyAlignment="true" applyBorder="false" applyFill="false" applyFont="true" applyNumberFormat="false" applyProtection="false" borderId="28" fillId="0" fontId="5" numFmtId="0" xfId="0">
      <alignment horizontal="left" vertical="center" wrapText="true"/>
    </xf>
    <xf applyAlignment="true" applyBorder="false" applyFill="true" applyFont="true" applyNumberFormat="false" applyProtection="false" borderId="29" fillId="11" fontId="1" numFmtId="0" xfId="0">
      <alignment vertical="center"/>
    </xf>
    <xf applyAlignment="true" applyBorder="false" applyFill="true" applyFont="true" applyNumberFormat="false" applyProtection="false" borderId="30" fillId="12" fontId="1" numFmtId="0" xfId="0">
      <alignment vertical="center"/>
    </xf>
    <xf applyAlignment="true" applyBorder="false" applyFill="false" applyFont="true" applyNumberFormat="false" applyProtection="false" borderId="31" fillId="0" fontId="1" numFmtId="0" xfId="0">
      <alignment vertical="center"/>
    </xf>
    <xf applyAlignment="true" applyBorder="false" applyFill="true" applyFont="true" applyNumberFormat="false" applyProtection="false" borderId="32" fillId="13" fontId="1" numFmtId="0" xfId="0">
      <alignment vertical="center"/>
    </xf>
    <xf applyAlignment="true" applyBorder="false" applyFill="true" applyFont="true" applyNumberFormat="false" applyProtection="false" borderId="33" fillId="14" fontId="1" numFmtId="0" xfId="0">
      <alignment vertical="center"/>
    </xf>
    <xf applyAlignment="true" applyBorder="false" applyFill="false" applyFont="true" applyNumberFormat="false" applyProtection="false" borderId="34" fillId="0" fontId="7" numFmtId="0" xfId="0">
      <alignment vertical="center"/>
    </xf>
    <xf applyAlignment="true" applyBorder="false" applyFill="false" applyFont="true" applyNumberFormat="false" applyProtection="false" borderId="35" fillId="0" fontId="7" numFmtId="0" xfId="0">
      <alignment horizontal="center" vertical="center"/>
    </xf>
    <xf applyAlignment="true" applyBorder="false" applyFill="false" applyFont="true" applyNumberFormat="false" applyProtection="false" borderId="36" fillId="0" fontId="7" numFmtId="0" xfId="0">
      <alignment vertical="center"/>
    </xf>
    <xf applyAlignment="true" applyBorder="false" applyFill="false" applyFont="true" applyNumberFormat="false" applyProtection="false" borderId="37" fillId="0" fontId="1" numFmtId="0" xfId="0">
      <alignment horizontal="center" vertical="center"/>
    </xf>
    <xf applyAlignment="true" applyBorder="false" applyFill="false" applyFont="true" applyNumberFormat="false" applyProtection="false" borderId="38" fillId="0" fontId="1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4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21"/>
    <col collapsed="false" customWidth="true" hidden="false" max="2" min="2" style="0" width="13"/>
    <col collapsed="false" customWidth="true" hidden="false" max="4" min="4" style="0" width="9"/>
    <col collapsed="false" customWidth="true" hidden="false" max="6" min="6" style="0" width="13"/>
    <col collapsed="false" customWidth="true" hidden="false" max="8" min="8" style="0" width="9"/>
    <col collapsed="false" customWidth="true" hidden="false" max="10" min="10" style="0" width="13"/>
    <col collapsed="false" customWidth="true" hidden="false" max="12" min="12" style="0" width="9"/>
    <col collapsed="false" customWidth="true" hidden="false" max="13" min="13" style="0" width="18"/>
  </cols>
  <sheetData>
    <row r="1">
      <c r="A1" s="27" t="str">
        <v>IP</v>
      </c>
      <c r="B1" s="27" t="str">
        <v>节点说明</v>
      </c>
      <c r="C1" s="14" t="str">
        <v>内存</v>
      </c>
      <c r="D1" s="14" t="str">
        <v>CPU核</v>
      </c>
      <c r="E1" s="14" t="str">
        <v>运行时间</v>
      </c>
      <c r="F1" s="14" t="str">
        <v>CPU使用率</v>
      </c>
      <c r="G1" s="28" t="str" xml:space="preserve">
        <v>内存使用率 </v>
      </c>
      <c r="H1" s="14" t="str">
        <v>磁盘大小</v>
      </c>
      <c r="I1" s="14" t="str">
        <v>使用率</v>
      </c>
    </row>
    <row r="2">
      <c r="A2" s="5" t="str">
        <v>192.168.1.195:9100</v>
      </c>
      <c r="B2" s="3" t="str">
        <v>FTP</v>
      </c>
      <c r="C2" s="2" t="str">
        <v>15.51 GiB</v>
      </c>
      <c r="D2" s="2">
        <v>4</v>
      </c>
      <c r="E2" s="2" t="str">
        <v>4.10 year</v>
      </c>
      <c r="F2" s="7">
        <v>0.2975</v>
      </c>
      <c r="G2" s="8">
        <v>0.9521</v>
      </c>
      <c r="H2" s="6"/>
      <c r="I2" s="6"/>
      <c r="J2" s="4"/>
      <c r="K2" s="4"/>
      <c r="L2" s="4"/>
      <c r="M2" s="4"/>
      <c r="N2" s="4"/>
      <c r="O2" s="4"/>
    </row>
    <row customHeight="true" ht="19" r="3">
      <c r="A3" s="5" t="str">
        <v>192.168.1.235:9100</v>
      </c>
      <c r="B3" s="3" t="str">
        <v>节点1</v>
      </c>
      <c r="C3" s="2" t="str">
        <v>31.26 GiB</v>
      </c>
      <c r="D3" s="2">
        <v>4</v>
      </c>
      <c r="E3" s="2" t="str">
        <v>1.67 year</v>
      </c>
      <c r="F3" s="10">
        <v>0.1171</v>
      </c>
      <c r="G3" s="11">
        <v>0.8925</v>
      </c>
      <c r="H3" s="9"/>
      <c r="I3" s="9"/>
      <c r="J3" s="4"/>
      <c r="K3" s="4"/>
      <c r="L3" s="4"/>
      <c r="M3" s="4"/>
      <c r="N3" s="4"/>
      <c r="O3" s="4"/>
    </row>
    <row r="4">
      <c r="A4" s="5" t="str">
        <v>192.168.1.10:9100</v>
      </c>
      <c r="B4" s="3" t="str">
        <v>节点2</v>
      </c>
      <c r="C4" s="2" t="str">
        <v>31.26 GiB</v>
      </c>
      <c r="D4" s="2">
        <v>4</v>
      </c>
      <c r="E4" s="2" t="str">
        <v>1.67 year</v>
      </c>
      <c r="F4" s="10">
        <v>0.0984</v>
      </c>
      <c r="G4" s="25">
        <v>0.9384</v>
      </c>
      <c r="H4" s="9"/>
      <c r="I4" s="9"/>
      <c r="J4" s="4"/>
      <c r="K4" s="4"/>
      <c r="L4" s="4"/>
      <c r="M4" s="4"/>
      <c r="N4" s="4"/>
      <c r="O4" s="4"/>
    </row>
    <row customHeight="true" ht="19" r="5">
      <c r="A5" s="5" t="str">
        <v>192.168.1.120:9100</v>
      </c>
      <c r="B5" s="3" t="str">
        <v>节点3</v>
      </c>
      <c r="C5" s="2" t="str">
        <v>31.26 GiB</v>
      </c>
      <c r="D5" s="2">
        <v>4</v>
      </c>
      <c r="E5" s="2" t="str">
        <v>16.27 week</v>
      </c>
      <c r="F5" s="10">
        <v>0.1045</v>
      </c>
      <c r="G5" s="16">
        <v>0.8145</v>
      </c>
      <c r="H5" s="9"/>
      <c r="I5" s="9"/>
      <c r="J5" s="4"/>
      <c r="K5" s="4"/>
      <c r="L5" s="4"/>
      <c r="M5" s="4"/>
      <c r="N5" s="4"/>
      <c r="O5" s="4"/>
    </row>
    <row customHeight="true" ht="19" r="6">
      <c r="A6" s="5" t="str">
        <v>192.168.1.249:9100</v>
      </c>
      <c r="B6" s="3" t="str">
        <v>节点4</v>
      </c>
      <c r="C6" s="2" t="str">
        <v>31.26 GiB</v>
      </c>
      <c r="D6" s="2">
        <v>4</v>
      </c>
      <c r="E6" s="2" t="str">
        <v>1.23 year</v>
      </c>
      <c r="F6" s="10">
        <v>0.1235</v>
      </c>
      <c r="G6" s="16">
        <v>0.8082</v>
      </c>
      <c r="H6" s="9"/>
      <c r="I6" s="9"/>
      <c r="J6" s="4"/>
      <c r="K6" s="4"/>
      <c r="L6" s="4"/>
      <c r="M6" s="4"/>
      <c r="N6" s="4"/>
      <c r="O6" s="4"/>
    </row>
    <row r="7">
      <c r="A7" s="5" t="str">
        <v>192.168.1.108:9100</v>
      </c>
      <c r="B7" s="3" t="str">
        <v>节点5</v>
      </c>
      <c r="C7" s="2" t="str">
        <v>31.26 GiB</v>
      </c>
      <c r="D7" s="2">
        <v>4</v>
      </c>
      <c r="E7" s="2" t="str">
        <v>1.35 year</v>
      </c>
      <c r="F7" s="10">
        <v>0.0773</v>
      </c>
      <c r="G7" s="11">
        <v>0.9109</v>
      </c>
      <c r="H7" s="9"/>
      <c r="I7" s="9"/>
      <c r="J7" s="4"/>
      <c r="K7" s="4"/>
      <c r="L7" s="4"/>
      <c r="M7" s="4"/>
      <c r="N7" s="4"/>
      <c r="O7" s="4"/>
    </row>
    <row r="8">
      <c r="A8" s="5" t="str">
        <v>192.168.1.47:9100</v>
      </c>
      <c r="B8" s="3" t="str">
        <v>节点6</v>
      </c>
      <c r="C8" s="2" t="str">
        <v>31.26 GiB</v>
      </c>
      <c r="D8" s="2">
        <v>4</v>
      </c>
      <c r="E8" s="2" t="str">
        <v>1.35 year</v>
      </c>
      <c r="F8" s="10">
        <v>0.1043</v>
      </c>
      <c r="G8" s="11">
        <v>0.8953</v>
      </c>
      <c r="H8" s="9"/>
      <c r="I8" s="9"/>
      <c r="J8" s="4"/>
      <c r="K8" s="4"/>
      <c r="L8" s="4"/>
      <c r="M8" s="4"/>
      <c r="N8" s="4"/>
      <c r="O8" s="4"/>
    </row>
    <row r="9">
      <c r="A9" s="5" t="str">
        <v>192.168.1.223:9100</v>
      </c>
      <c r="B9" s="3" t="str">
        <v>节点7</v>
      </c>
      <c r="C9" s="2" t="str">
        <v>31.26 GiB</v>
      </c>
      <c r="D9" s="2">
        <v>4</v>
      </c>
      <c r="E9" s="2" t="str">
        <v>1.35 year</v>
      </c>
      <c r="F9" s="10">
        <v>0.1433</v>
      </c>
      <c r="G9" s="11">
        <v>0.8837</v>
      </c>
      <c r="H9" s="9"/>
      <c r="I9" s="9"/>
      <c r="J9" s="4"/>
      <c r="K9" s="4"/>
      <c r="L9" s="4"/>
      <c r="M9" s="4"/>
      <c r="N9" s="4"/>
      <c r="O9" s="4"/>
    </row>
    <row r="10">
      <c r="A10" s="5" t="str">
        <v>192.168.1.133:9100</v>
      </c>
      <c r="B10" s="3" t="str">
        <v>节点8</v>
      </c>
      <c r="C10" s="2" t="str">
        <v>31.26 GiB</v>
      </c>
      <c r="D10" s="2">
        <v>4</v>
      </c>
      <c r="E10" s="2" t="str">
        <v>1.35 year</v>
      </c>
      <c r="F10" s="10">
        <v>0.1033</v>
      </c>
      <c r="G10" s="11">
        <v>0.9142</v>
      </c>
      <c r="H10" s="9"/>
      <c r="I10" s="9"/>
      <c r="J10" s="4"/>
      <c r="K10" s="4"/>
      <c r="L10" s="4"/>
      <c r="M10" s="4"/>
      <c r="N10" s="4"/>
      <c r="O10" s="4"/>
    </row>
    <row r="11">
      <c r="A11" s="21" t="str">
        <v>192.168.1.86:9100</v>
      </c>
      <c r="B11" s="19" t="str">
        <v>管理平台</v>
      </c>
      <c r="C11" s="22" t="str">
        <v>15.51 GiB</v>
      </c>
      <c r="D11" s="22">
        <v>4</v>
      </c>
      <c r="E11" s="22" t="str">
        <v>3.30 year</v>
      </c>
      <c r="F11" s="20">
        <v>0.7047</v>
      </c>
      <c r="G11" s="24">
        <v>0.8763</v>
      </c>
      <c r="H11" s="23"/>
      <c r="I11" s="9"/>
      <c r="J11" s="4"/>
      <c r="K11" s="4"/>
      <c r="L11" s="4"/>
      <c r="M11" s="4"/>
      <c r="N11" s="4"/>
      <c r="O11" s="4"/>
    </row>
    <row customHeight="true" ht="19" r="12">
      <c r="A12" s="9" t="str">
        <v>192.168.1.40</v>
      </c>
      <c r="B12" s="9" t="str">
        <v>共享磁盘</v>
      </c>
      <c r="C12" s="18"/>
      <c r="D12" s="18"/>
      <c r="E12" s="18"/>
      <c r="F12" s="18"/>
      <c r="G12" s="18"/>
      <c r="H12" s="18" t="str">
        <v>5T</v>
      </c>
      <c r="I12" s="26">
        <v>0.95</v>
      </c>
    </row>
    <row r="13"/>
    <row r="14">
      <c r="A14" s="1" t="s">
        <v>1</v>
      </c>
      <c r="B14" s="1"/>
      <c r="C14" s="1"/>
      <c r="D14" s="1"/>
      <c r="E14" s="1"/>
      <c r="F14" s="1"/>
      <c r="G14" s="1"/>
    </row>
    <row r="15">
      <c r="A15" s="1"/>
      <c r="B15" s="1"/>
      <c r="C15" s="1"/>
      <c r="D15" s="1"/>
      <c r="E15" s="1"/>
      <c r="F15" s="1"/>
      <c r="G15" s="1"/>
    </row>
    <row r="16">
      <c r="A16" s="1"/>
      <c r="B16" s="1"/>
      <c r="C16" s="1"/>
      <c r="D16" s="1"/>
      <c r="E16" s="1"/>
      <c r="F16" s="1"/>
      <c r="G16" s="1"/>
    </row>
    <row r="17">
      <c r="A17" s="1"/>
      <c r="B17" s="1"/>
      <c r="C17" s="1"/>
      <c r="D17" s="1"/>
      <c r="E17" s="1"/>
      <c r="F17" s="1"/>
      <c r="G17" s="1"/>
    </row>
    <row r="18">
      <c r="A18" s="1"/>
      <c r="B18" s="1"/>
      <c r="C18" s="1"/>
      <c r="D18" s="1"/>
      <c r="E18" s="1"/>
      <c r="F18" s="1"/>
      <c r="G18" s="1"/>
    </row>
    <row r="19">
      <c r="A19" s="1"/>
      <c r="B19" s="1"/>
      <c r="C19" s="1"/>
      <c r="D19" s="1"/>
      <c r="E19" s="1"/>
      <c r="F19" s="1"/>
      <c r="G19" s="1"/>
    </row>
    <row customHeight="true" ht="58" r="20">
      <c r="A20" s="1"/>
      <c r="B20" s="1"/>
      <c r="C20" s="1"/>
      <c r="D20" s="1"/>
      <c r="E20" s="1"/>
      <c r="F20" s="1"/>
      <c r="G20" s="1"/>
    </row>
    <row r="21"/>
    <row r="22"/>
    <row r="23"/>
    <row r="24"/>
    <row r="25">
      <c r="B25" s="18" t="str">
        <v>按照运行最稳定估算配置</v>
      </c>
      <c r="C25" s="18"/>
      <c r="D25" s="18"/>
      <c r="E25" s="18"/>
      <c r="F25" s="18"/>
      <c r="G25" s="18"/>
      <c r="H25" s="18"/>
      <c r="J25" s="18" t="str">
        <v>按照运行最稳定估算配置</v>
      </c>
      <c r="K25" s="18"/>
      <c r="L25" s="18"/>
    </row>
    <row r="26"/>
    <row r="27">
      <c r="B27" s="18" t="str">
        <v>每天10万静态</v>
      </c>
      <c r="F27" s="18" t="str">
        <v>每天1万动态</v>
      </c>
      <c r="J27" s="17" t="str">
        <v>每天10万静态+1万动态</v>
      </c>
      <c r="K27" s="17"/>
    </row>
    <row r="28">
      <c r="B28" s="15" t="str">
        <v>节点说明</v>
      </c>
      <c r="C28" s="14" t="str">
        <v>内存</v>
      </c>
      <c r="D28" s="14" t="str">
        <v>CPU核</v>
      </c>
      <c r="F28" s="15" t="str">
        <v>节点说明</v>
      </c>
      <c r="G28" s="14" t="str">
        <v>内存</v>
      </c>
      <c r="H28" s="14" t="str">
        <v>CPU核</v>
      </c>
      <c r="J28" s="15" t="str">
        <v>节点说明</v>
      </c>
      <c r="K28" s="14" t="str">
        <v>内存</v>
      </c>
      <c r="L28" s="14" t="str">
        <v>CPU核</v>
      </c>
    </row>
    <row r="29">
      <c r="B29" s="3" t="str">
        <v>节点1</v>
      </c>
      <c r="C29" s="2" t="str">
        <v>31.26 GiB</v>
      </c>
      <c r="D29" s="2">
        <v>4</v>
      </c>
      <c r="F29" s="3" t="str">
        <v>节点1</v>
      </c>
      <c r="G29" s="2" t="str">
        <v>31.26 GiB</v>
      </c>
      <c r="H29" s="2">
        <v>4</v>
      </c>
      <c r="J29" s="3" t="str">
        <v>节点1</v>
      </c>
      <c r="K29" s="2" t="str">
        <v>31.26 GiB</v>
      </c>
      <c r="L29" s="2">
        <v>4</v>
      </c>
    </row>
    <row r="30">
      <c r="B30" s="3" t="str">
        <v>节点2</v>
      </c>
      <c r="C30" s="2" t="str">
        <v>31.26 GiB</v>
      </c>
      <c r="D30" s="2">
        <v>4</v>
      </c>
      <c r="F30" s="3" t="str">
        <v>节点2</v>
      </c>
      <c r="G30" s="2" t="str">
        <v>31.26 GiB</v>
      </c>
      <c r="H30" s="2">
        <v>4</v>
      </c>
      <c r="J30" s="3" t="str">
        <v>节点2</v>
      </c>
      <c r="K30" s="2" t="str">
        <v>31.26 GiB</v>
      </c>
      <c r="L30" s="2">
        <v>4</v>
      </c>
    </row>
    <row r="31">
      <c r="B31" s="3" t="str">
        <v>节点3</v>
      </c>
      <c r="C31" s="2" t="str">
        <v>31.26 GiB</v>
      </c>
      <c r="D31" s="2">
        <v>4</v>
      </c>
      <c r="F31" s="3" t="str">
        <v>节点3</v>
      </c>
      <c r="G31" s="2" t="str">
        <v>31.26 GiB</v>
      </c>
      <c r="H31" s="2">
        <v>4</v>
      </c>
      <c r="J31" s="3" t="str">
        <v>节点3</v>
      </c>
      <c r="K31" s="2" t="str">
        <v>31.26 GiB</v>
      </c>
      <c r="L31" s="2">
        <v>4</v>
      </c>
    </row>
    <row r="32">
      <c r="B32" s="3" t="str">
        <v>节点4</v>
      </c>
      <c r="C32" s="2" t="str">
        <v>31.26 GiB</v>
      </c>
      <c r="D32" s="2">
        <v>4</v>
      </c>
      <c r="F32" s="3" t="str">
        <v>节点4</v>
      </c>
      <c r="G32" s="2" t="str">
        <v>31.26 GiB</v>
      </c>
      <c r="H32" s="2">
        <v>4</v>
      </c>
      <c r="J32" s="3" t="str">
        <v>节点4</v>
      </c>
      <c r="K32" s="2" t="str">
        <v>31.26 GiB</v>
      </c>
      <c r="L32" s="2">
        <v>4</v>
      </c>
    </row>
    <row r="33">
      <c r="B33" s="3" t="str">
        <v>节点5</v>
      </c>
      <c r="C33" s="2" t="str">
        <v>31.26 GiB</v>
      </c>
      <c r="D33" s="2">
        <v>4</v>
      </c>
      <c r="F33" s="3" t="str">
        <v>节点5</v>
      </c>
      <c r="G33" s="2" t="str">
        <v>31.26 GiB</v>
      </c>
      <c r="H33" s="2">
        <v>4</v>
      </c>
      <c r="J33" s="3" t="str">
        <v>节点5</v>
      </c>
      <c r="K33" s="2" t="str">
        <v>31.26 GiB</v>
      </c>
      <c r="L33" s="2">
        <v>4</v>
      </c>
    </row>
    <row r="34">
      <c r="B34" s="3" t="str">
        <v>节点6</v>
      </c>
      <c r="C34" s="2" t="str">
        <v>31.26 GiB</v>
      </c>
      <c r="D34" s="2">
        <v>4</v>
      </c>
      <c r="F34" s="3" t="str">
        <v>节点6</v>
      </c>
      <c r="G34" s="2" t="str">
        <v>31.26 GiB</v>
      </c>
      <c r="H34" s="2">
        <v>4</v>
      </c>
      <c r="J34" s="3" t="str">
        <v>节点6</v>
      </c>
      <c r="K34" s="2" t="str">
        <v>31.26 GiB</v>
      </c>
      <c r="L34" s="2">
        <v>4</v>
      </c>
    </row>
    <row r="35">
      <c r="B35" s="3" t="str">
        <v>节点7</v>
      </c>
      <c r="C35" s="2" t="str">
        <v>31.26 GiB</v>
      </c>
      <c r="D35" s="2">
        <v>4</v>
      </c>
      <c r="F35" s="3" t="str">
        <v>节点7</v>
      </c>
      <c r="G35" s="2" t="str">
        <v>31.26 GiB</v>
      </c>
      <c r="H35" s="2">
        <v>4</v>
      </c>
      <c r="J35" s="3" t="str">
        <v>节点7</v>
      </c>
      <c r="K35" s="2" t="str">
        <v>31.26 GiB</v>
      </c>
      <c r="L35" s="2">
        <v>4</v>
      </c>
    </row>
    <row r="36">
      <c r="B36" s="3" t="str">
        <v>节点8</v>
      </c>
      <c r="C36" s="2" t="str">
        <v>31.26 GiB</v>
      </c>
      <c r="D36" s="2">
        <v>4</v>
      </c>
      <c r="F36" s="3" t="str">
        <v>节点8</v>
      </c>
      <c r="G36" s="2" t="str">
        <v>31.26 GiB</v>
      </c>
      <c r="H36" s="2">
        <v>4</v>
      </c>
      <c r="J36" s="3" t="str">
        <v>节点8</v>
      </c>
      <c r="K36" s="2" t="str">
        <v>31.26 GiB</v>
      </c>
      <c r="L36" s="2">
        <v>4</v>
      </c>
    </row>
    <row r="37">
      <c r="B37" s="12" t="str">
        <v>节点9</v>
      </c>
      <c r="C37" s="13" t="str">
        <v>31.26 GiB</v>
      </c>
      <c r="D37" s="13">
        <v>4</v>
      </c>
      <c r="F37" s="12" t="str">
        <v>节点9</v>
      </c>
      <c r="G37" s="13" t="str">
        <v>31.26 GiB</v>
      </c>
      <c r="H37" s="13">
        <v>4</v>
      </c>
      <c r="J37" s="12" t="str">
        <v>节点9</v>
      </c>
      <c r="K37" s="13" t="str">
        <v>31.26 GiB</v>
      </c>
      <c r="L37" s="13">
        <v>4</v>
      </c>
    </row>
    <row r="38">
      <c r="B38" s="12" t="str">
        <v>节点10</v>
      </c>
      <c r="C38" s="13" t="str">
        <v>31.26 GiB</v>
      </c>
      <c r="D38" s="13">
        <v>4</v>
      </c>
      <c r="F38" s="12" t="str">
        <v>节点10</v>
      </c>
      <c r="G38" s="13" t="str">
        <v>31.26 GiB</v>
      </c>
      <c r="H38" s="13">
        <v>4</v>
      </c>
      <c r="J38" s="12" t="str">
        <v>节点10</v>
      </c>
      <c r="K38" s="13" t="str">
        <v>31.26 GiB</v>
      </c>
      <c r="L38" s="13">
        <v>4</v>
      </c>
    </row>
    <row r="39">
      <c r="B39" s="12" t="str">
        <v>节点11</v>
      </c>
      <c r="C39" s="13" t="str">
        <v>31.26 GiB</v>
      </c>
      <c r="D39" s="13">
        <v>4</v>
      </c>
      <c r="J39" s="12" t="str">
        <v>节点11</v>
      </c>
      <c r="K39" s="13" t="str">
        <v>31.26 GiB</v>
      </c>
      <c r="L39" s="13">
        <v>4</v>
      </c>
    </row>
    <row r="40">
      <c r="J40" s="12" t="str">
        <v>节点12</v>
      </c>
      <c r="K40" s="13" t="str">
        <v>31.26 GiB</v>
      </c>
      <c r="L40" s="13">
        <v>4</v>
      </c>
    </row>
    <row r="41"/>
    <row r="42"/>
    <row r="43"/>
    <row r="44">
      <c r="B44" s="18" t="str">
        <v>按照运行稳定估算配置  ，只有数据流转+数据相关pdf、图片等I/O操作</v>
      </c>
      <c r="C44" s="18"/>
      <c r="D44" s="18"/>
      <c r="E44" s="18"/>
      <c r="F44" s="18"/>
      <c r="G44" s="18"/>
      <c r="H44" s="18"/>
      <c r="J44" s="17" t="str">
        <v>按照运行稳定估算配置，只有数据流转+数据相关pdf、图片等I/O操作</v>
      </c>
      <c r="K44" s="17"/>
      <c r="L44" s="17"/>
      <c r="M44" s="17"/>
    </row>
    <row r="45"/>
    <row r="46">
      <c r="B46" s="18" t="str">
        <v>每天10万静态</v>
      </c>
      <c r="F46" s="18" t="str">
        <v>每天1万动态</v>
      </c>
      <c r="J46" s="17" t="str">
        <v>每天10万静态+1万动态</v>
      </c>
      <c r="K46" s="17"/>
    </row>
    <row r="47">
      <c r="B47" s="15" t="str">
        <v>节点说明</v>
      </c>
      <c r="C47" s="14" t="str">
        <v>内存</v>
      </c>
      <c r="D47" s="14" t="str">
        <v>CPU核</v>
      </c>
      <c r="F47" s="15" t="str">
        <v>节点说明</v>
      </c>
      <c r="G47" s="14" t="str">
        <v>内存</v>
      </c>
      <c r="H47" s="14" t="str">
        <v>CPU核</v>
      </c>
      <c r="J47" s="15" t="str">
        <v>节点说明</v>
      </c>
      <c r="K47" s="14" t="str">
        <v>内存</v>
      </c>
      <c r="L47" s="14" t="str">
        <v>CPU核</v>
      </c>
    </row>
    <row r="48">
      <c r="B48" s="3" t="str">
        <v>节点1</v>
      </c>
      <c r="C48" s="2" t="str">
        <v>31.26 GiB</v>
      </c>
      <c r="D48" s="2">
        <v>4</v>
      </c>
      <c r="F48" s="3" t="str">
        <v>节点1</v>
      </c>
      <c r="G48" s="2" t="str">
        <v>31.26 GiB</v>
      </c>
      <c r="H48" s="2">
        <v>4</v>
      </c>
      <c r="J48" s="3" t="str">
        <v>节点1</v>
      </c>
      <c r="K48" s="2" t="str">
        <v>31.26 GiB</v>
      </c>
      <c r="L48" s="2">
        <v>4</v>
      </c>
    </row>
    <row r="49">
      <c r="B49" s="3" t="str">
        <v>节点2</v>
      </c>
      <c r="C49" s="2" t="str">
        <v>31.26 GiB</v>
      </c>
      <c r="D49" s="2">
        <v>4</v>
      </c>
      <c r="F49" s="3" t="str">
        <v>节点2</v>
      </c>
      <c r="G49" s="2" t="str">
        <v>31.26 GiB</v>
      </c>
      <c r="H49" s="2">
        <v>4</v>
      </c>
      <c r="J49" s="3" t="str">
        <v>节点2</v>
      </c>
      <c r="K49" s="2" t="str">
        <v>31.26 GiB</v>
      </c>
      <c r="L49" s="2">
        <v>4</v>
      </c>
    </row>
    <row r="50">
      <c r="B50" s="3" t="str">
        <v>节点3</v>
      </c>
      <c r="C50" s="2" t="str">
        <v>31.26 GiB</v>
      </c>
      <c r="D50" s="2">
        <v>4</v>
      </c>
      <c r="J50" s="3" t="str">
        <v>节点3</v>
      </c>
      <c r="K50" s="2" t="str">
        <v>31.26 GiB</v>
      </c>
      <c r="L50" s="2">
        <v>4</v>
      </c>
    </row>
    <row r="51">
      <c r="J51" s="3" t="str">
        <v>节点4</v>
      </c>
      <c r="K51" s="2" t="str">
        <v>31.26 GiB</v>
      </c>
      <c r="L51" s="2">
        <v>4</v>
      </c>
    </row>
  </sheetData>
  <mergeCells>
    <mergeCell ref="A14:G20"/>
    <mergeCell ref="J27:K27"/>
    <mergeCell ref="B25:H25"/>
    <mergeCell ref="J25:L25"/>
    <mergeCell ref="J46:K46"/>
    <mergeCell ref="B44:H44"/>
  </mergeCells>
  <picture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2" min="2" style="0" width="11"/>
    <col collapsed="false" customWidth="true" hidden="false" max="5" min="5" style="0" width="41"/>
  </cols>
  <sheetData>
    <row r="1">
      <c r="A1" s="32" t="str">
        <v>机器</v>
      </c>
      <c r="B1" s="32" t="str">
        <v>磁盘大小</v>
      </c>
      <c r="C1" s="32" t="str">
        <v>使用空间 %</v>
      </c>
      <c r="D1" s="32" t="str">
        <v>剩余 %</v>
      </c>
      <c r="E1" s="32" t="str">
        <v>用途</v>
      </c>
      <c r="F1" s="32" t="str">
        <v>建议增加</v>
      </c>
      <c r="G1" s="33" t="str">
        <v>承载应用节点数</v>
      </c>
      <c r="H1" s="33" t="str">
        <v>内存</v>
      </c>
      <c r="I1" s="33" t="str">
        <v>已使用</v>
      </c>
    </row>
    <row r="2">
      <c r="A2" s="18" t="str">
        <v>192.168.1.40</v>
      </c>
      <c r="B2" s="18" t="str">
        <v>2T</v>
      </c>
      <c r="C2" s="18">
        <v>96</v>
      </c>
      <c r="D2" s="29">
        <f>100-C2</f>
      </c>
      <c r="E2" s="18" t="s">
        <v>2</v>
      </c>
      <c r="F2" s="30" t="str">
        <v>紧急增加</v>
      </c>
      <c r="G2" s="18"/>
      <c r="H2" s="18"/>
      <c r="I2" s="18"/>
    </row>
    <row r="3">
      <c r="A3" s="18" t="str">
        <v>192.168.1.235</v>
      </c>
      <c r="B3" s="18" t="str">
        <v>296G</v>
      </c>
      <c r="C3" s="18">
        <v>62</v>
      </c>
      <c r="D3" s="18">
        <f>100-C3</f>
      </c>
      <c r="E3" s="18" t="s">
        <v>3</v>
      </c>
      <c r="F3" s="31"/>
      <c r="G3" s="18"/>
      <c r="H3" s="18"/>
      <c r="I3" s="18"/>
    </row>
    <row r="4">
      <c r="A4" s="18" t="str">
        <v>192.168.1.10</v>
      </c>
      <c r="B4" s="18" t="str">
        <v>296G</v>
      </c>
      <c r="C4" s="18">
        <v>74</v>
      </c>
      <c r="D4" s="18">
        <f>100-C4</f>
      </c>
      <c r="E4" s="18" t="s">
        <v>3</v>
      </c>
      <c r="F4" s="31"/>
      <c r="G4" s="18"/>
      <c r="H4" s="18"/>
      <c r="I4" s="18"/>
    </row>
    <row r="5">
      <c r="A5" s="18" t="str">
        <v>192.168.1.120</v>
      </c>
      <c r="B5" s="18" t="str">
        <v>197G</v>
      </c>
      <c r="C5" s="18">
        <v>51</v>
      </c>
      <c r="D5" s="18">
        <f>100-C5</f>
      </c>
      <c r="E5" s="18" t="str">
        <v>应用节点</v>
      </c>
      <c r="F5" s="31"/>
      <c r="G5" s="18"/>
      <c r="H5" s="18"/>
      <c r="I5" s="18"/>
    </row>
    <row r="6">
      <c r="A6" s="18" t="str" xml:space="preserve">
        <v>192.168.1.249 </v>
      </c>
      <c r="B6" s="18" t="str">
        <v>197G</v>
      </c>
      <c r="C6" s="18">
        <v>54</v>
      </c>
      <c r="D6" s="18">
        <f>100-C6</f>
      </c>
      <c r="E6" s="18" t="str">
        <v>应用节点</v>
      </c>
      <c r="F6" s="31"/>
      <c r="G6" s="18"/>
      <c r="H6" s="18"/>
      <c r="I6" s="18"/>
    </row>
    <row r="7">
      <c r="A7" s="18" t="str">
        <v>192.168.1.108</v>
      </c>
      <c r="B7" s="18" t="str">
        <v>296G</v>
      </c>
      <c r="C7" s="18">
        <v>21</v>
      </c>
      <c r="D7" s="18">
        <f>100-C7</f>
      </c>
      <c r="E7" s="18" t="s">
        <v>3</v>
      </c>
      <c r="F7" s="31"/>
      <c r="G7" s="18"/>
      <c r="H7" s="18"/>
      <c r="I7" s="18"/>
    </row>
    <row r="8">
      <c r="A8" s="18" t="str">
        <v>192.168.1.47</v>
      </c>
      <c r="B8" s="18" t="str">
        <v>296G</v>
      </c>
      <c r="C8" s="18">
        <v>23</v>
      </c>
      <c r="D8" s="18">
        <f>100-C8</f>
      </c>
      <c r="E8" s="18" t="s">
        <v>3</v>
      </c>
      <c r="F8" s="31"/>
      <c r="G8" s="18"/>
      <c r="H8" s="18"/>
      <c r="I8" s="18"/>
    </row>
    <row r="9">
      <c r="A9" s="18" t="str">
        <v>192.168.1.223</v>
      </c>
      <c r="B9" s="18" t="str">
        <v>296G</v>
      </c>
      <c r="C9" s="18">
        <v>20</v>
      </c>
      <c r="D9" s="18">
        <f>100-C9</f>
      </c>
      <c r="E9" s="18" t="str">
        <v>应用节点</v>
      </c>
      <c r="F9" s="31"/>
      <c r="G9" s="18"/>
      <c r="H9" s="18"/>
      <c r="I9" s="18"/>
    </row>
    <row r="10">
      <c r="A10" s="18" t="str">
        <v>192.168.1.133</v>
      </c>
      <c r="B10" s="18" t="str">
        <v>985G</v>
      </c>
      <c r="C10" s="18">
        <v>71</v>
      </c>
      <c r="D10" s="18">
        <f>100-C10</f>
      </c>
      <c r="E10" s="18" t="s">
        <v>4</v>
      </c>
      <c r="F10" s="31"/>
      <c r="G10" s="18"/>
      <c r="H10" s="18"/>
      <c r="I10" s="18"/>
    </row>
    <row r="11">
      <c r="A11" s="18" t="str">
        <v>192.168.1.48</v>
      </c>
      <c r="B11" s="18" t="str">
        <v>296G</v>
      </c>
      <c r="C11" s="18">
        <v>30</v>
      </c>
      <c r="D11" s="18">
        <f>100-C11</f>
      </c>
      <c r="E11" s="18" t="str">
        <v>灰度环境</v>
      </c>
      <c r="F11" s="31"/>
      <c r="G11" s="18"/>
      <c r="H11" s="18"/>
      <c r="I11" s="18"/>
    </row>
    <row r="12">
      <c r="A12" s="18" t="str">
        <v>192.168.1.86</v>
      </c>
      <c r="B12" s="18" t="str">
        <v>99G</v>
      </c>
      <c r="C12" s="18">
        <v>91</v>
      </c>
      <c r="D12" s="29">
        <f>100-C12</f>
      </c>
      <c r="E12" s="18" t="s">
        <v>5</v>
      </c>
      <c r="F12" s="30" t="str">
        <v>紧急增加</v>
      </c>
      <c r="G12" s="18"/>
      <c r="H12" s="18"/>
      <c r="I12" s="18"/>
    </row>
    <row r="13">
      <c r="A13" s="18" t="str">
        <v>192.168.1.195</v>
      </c>
      <c r="B13" s="18" t="str">
        <v>493G</v>
      </c>
      <c r="C13" s="18">
        <v>50</v>
      </c>
      <c r="D13" s="18">
        <f>100-C13</f>
      </c>
      <c r="E13" s="18" t="s">
        <v>6</v>
      </c>
      <c r="F13" s="31"/>
      <c r="G13" s="18"/>
      <c r="H13" s="18"/>
      <c r="I13" s="18"/>
    </row>
    <row r="14">
      <c r="A14" s="18" t="str">
        <v>192.168.1.230</v>
      </c>
      <c r="B14" s="18" t="str">
        <v>99G</v>
      </c>
      <c r="C14" s="18">
        <v>69</v>
      </c>
      <c r="D14" s="18">
        <f>100-C14</f>
      </c>
      <c r="E14" s="18" t="str">
        <v>三类注册</v>
      </c>
      <c r="F14" s="31"/>
      <c r="G14" s="18"/>
      <c r="H14" s="18"/>
      <c r="I14" s="18"/>
    </row>
  </sheetData>
  <picture r:id="rId1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4"/>
    <col collapsed="false" customWidth="true" hidden="false" max="3" min="3" style="0" width="13"/>
    <col collapsed="false" customWidth="true" hidden="false" max="5" min="5" style="0" width="9"/>
    <col collapsed="false" customWidth="true" hidden="false" max="8" min="8" style="0" width="13"/>
    <col collapsed="false" customWidth="true" hidden="false" max="10" min="10" style="0" width="9"/>
    <col collapsed="false" customWidth="true" hidden="false" max="13" min="13" style="0" width="13"/>
    <col collapsed="false" customWidth="true" hidden="false" max="15" min="15" style="0" width="9"/>
  </cols>
  <sheetData>
    <row r="1"/>
    <row r="2">
      <c r="A2" s="36"/>
      <c r="B2" s="34" t="str">
        <v>业务节点</v>
      </c>
      <c r="C2" s="18" t="str">
        <v>按照运行稳定估算配置</v>
      </c>
      <c r="D2" s="18"/>
      <c r="E2" s="18"/>
      <c r="G2" s="35" t="str">
        <v>数据治理节点</v>
      </c>
      <c r="H2" s="18" t="str">
        <v>按照运行稳定估算配置</v>
      </c>
      <c r="I2" s="18"/>
      <c r="J2" s="18"/>
      <c r="L2" s="35" t="str">
        <v>数据库</v>
      </c>
      <c r="M2" s="37" t="str">
        <v>按照运行稳定估算配置</v>
      </c>
      <c r="N2" s="37"/>
    </row>
    <row r="3">
      <c r="A3" s="36"/>
      <c r="B3" s="34"/>
      <c r="C3" s="17" t="str">
        <v>每天10万静态+1万动态</v>
      </c>
      <c r="D3" s="17"/>
      <c r="E3" s="18"/>
      <c r="G3" s="35"/>
      <c r="H3" s="17" t="str">
        <v>每天10万静态+1万动态</v>
      </c>
      <c r="I3" s="17"/>
      <c r="J3" s="18"/>
      <c r="L3" s="35"/>
      <c r="M3" s="17" t="str">
        <v>每天10万静态+1万动态</v>
      </c>
      <c r="N3" s="17"/>
    </row>
    <row r="4">
      <c r="A4" s="36"/>
      <c r="B4" s="34"/>
      <c r="C4" s="27" t="str">
        <v>节点说明</v>
      </c>
      <c r="D4" s="14" t="str">
        <v>内存</v>
      </c>
      <c r="E4" s="14" t="str">
        <v>CPU核</v>
      </c>
      <c r="G4" s="35"/>
      <c r="H4" s="27" t="str">
        <v>节点说明</v>
      </c>
      <c r="I4" s="14" t="str">
        <v>内存</v>
      </c>
      <c r="J4" s="14" t="str">
        <v>CPU核</v>
      </c>
      <c r="L4" s="35"/>
      <c r="M4" s="27" t="str">
        <v>节点说明</v>
      </c>
      <c r="N4" s="27" t="str">
        <v>说明</v>
      </c>
    </row>
    <row r="5">
      <c r="A5" s="38"/>
      <c r="B5" s="18" t="str">
        <v>原始</v>
      </c>
      <c r="C5" s="3" t="str">
        <v>节点1</v>
      </c>
      <c r="D5" s="2" t="str">
        <v>31.26 GiB</v>
      </c>
      <c r="E5" s="2">
        <v>4</v>
      </c>
      <c r="G5" s="18" t="str">
        <v>列式存储
Clickhouse</v>
      </c>
      <c r="H5" s="12" t="str">
        <v>节点1</v>
      </c>
      <c r="I5" s="13" t="str">
        <v>31.26 GiB</v>
      </c>
      <c r="J5" s="13">
        <v>4</v>
      </c>
      <c r="L5" s="37" t="str">
        <v>原始</v>
      </c>
      <c r="M5" s="3" t="str">
        <v>主数据库</v>
      </c>
      <c r="N5" s="3" t="str">
        <v>云产品</v>
      </c>
    </row>
    <row r="6">
      <c r="B6" s="18"/>
      <c r="C6" s="3" t="str">
        <v>节点2</v>
      </c>
      <c r="D6" s="2" t="str">
        <v>31.26 GiB</v>
      </c>
      <c r="E6" s="2">
        <v>4</v>
      </c>
      <c r="G6" s="18"/>
      <c r="H6" s="12" t="str">
        <v>节点2</v>
      </c>
      <c r="I6" s="13" t="str">
        <v>31.26 GiB</v>
      </c>
      <c r="J6" s="13">
        <v>4</v>
      </c>
      <c r="L6" s="37"/>
      <c r="M6" s="3" t="str">
        <v>只读数据库1</v>
      </c>
      <c r="N6" s="3" t="str">
        <v>云产品</v>
      </c>
    </row>
    <row r="7">
      <c r="B7" s="18"/>
      <c r="C7" s="3" t="str">
        <v>节点3</v>
      </c>
      <c r="D7" s="2" t="str">
        <v>31.26 GiB</v>
      </c>
      <c r="E7" s="2">
        <v>4</v>
      </c>
      <c r="G7" s="18"/>
      <c r="H7" s="12" t="str">
        <v>节点3</v>
      </c>
      <c r="I7" s="13" t="str">
        <v>31.26 GiB</v>
      </c>
      <c r="J7" s="13">
        <v>4</v>
      </c>
      <c r="L7" s="37" t="str">
        <v>医学中心</v>
      </c>
      <c r="M7" s="12" t="str">
        <v>只读数据库2</v>
      </c>
      <c r="N7" s="12" t="str">
        <v>云产品</v>
      </c>
    </row>
    <row r="8">
      <c r="B8" s="18"/>
      <c r="C8" s="3" t="str">
        <v>节点4</v>
      </c>
      <c r="D8" s="2" t="str">
        <v>31.26 GiB</v>
      </c>
      <c r="E8" s="2">
        <v>4</v>
      </c>
      <c r="G8" s="18"/>
      <c r="H8" s="12" t="str">
        <v>节点4</v>
      </c>
      <c r="I8" s="13" t="str">
        <v>31.26 GiB</v>
      </c>
      <c r="J8" s="13">
        <v>4</v>
      </c>
      <c r="L8" s="37"/>
      <c r="M8" s="12" t="str">
        <v>只读数据库2</v>
      </c>
      <c r="N8" s="12" t="str">
        <v>云产品</v>
      </c>
    </row>
    <row r="9">
      <c r="B9" s="18"/>
      <c r="C9" s="3" t="str">
        <v>节点5</v>
      </c>
      <c r="D9" s="2" t="str">
        <v>31.26 GiB</v>
      </c>
      <c r="E9" s="2">
        <v>4</v>
      </c>
      <c r="G9" s="37" t="str">
        <v>BI系统
自助式BI</v>
      </c>
      <c r="H9" s="12" t="str">
        <v>节点5</v>
      </c>
      <c r="I9" s="13" t="str">
        <v>31.26 GiB</v>
      </c>
      <c r="J9" s="13">
        <v>4</v>
      </c>
    </row>
    <row r="10">
      <c r="B10" s="18"/>
      <c r="C10" s="3" t="str">
        <v>节点6</v>
      </c>
      <c r="D10" s="2" t="str">
        <v>31.26 GiB</v>
      </c>
      <c r="E10" s="2">
        <v>4</v>
      </c>
      <c r="G10" s="37"/>
      <c r="H10" s="12" t="str">
        <v>节点6</v>
      </c>
      <c r="I10" s="13" t="str">
        <v>31.26 GiB</v>
      </c>
      <c r="J10" s="13">
        <v>4</v>
      </c>
    </row>
    <row r="11">
      <c r="B11" s="18"/>
      <c r="C11" s="3" t="str">
        <v>节点7</v>
      </c>
      <c r="D11" s="2" t="str">
        <v>31.26 GiB</v>
      </c>
      <c r="E11" s="2">
        <v>4</v>
      </c>
    </row>
    <row r="12">
      <c r="B12" s="18"/>
      <c r="C12" s="3" t="str">
        <v>节点8</v>
      </c>
      <c r="D12" s="2" t="str">
        <v>31.26 GiB</v>
      </c>
      <c r="E12" s="2">
        <v>4</v>
      </c>
      <c r="L12" s="35" t="str">
        <v>存储</v>
      </c>
      <c r="M12" s="37" t="str">
        <v>按照运行稳定估算配置</v>
      </c>
      <c r="N12" s="37"/>
    </row>
    <row r="13">
      <c r="A13" s="38"/>
      <c r="B13" s="18" t="str">
        <v>医学中心</v>
      </c>
      <c r="C13" s="12" t="str">
        <v>节点9</v>
      </c>
      <c r="D13" s="13" t="str">
        <v>31.26 GiB</v>
      </c>
      <c r="E13" s="13">
        <v>4</v>
      </c>
      <c r="L13" s="35"/>
      <c r="M13" s="17" t="str">
        <v>每天10万静态+1万动态</v>
      </c>
      <c r="N13" s="17"/>
    </row>
    <row r="14">
      <c r="B14" s="18"/>
      <c r="C14" s="12" t="str">
        <v>节点10</v>
      </c>
      <c r="D14" s="13" t="str">
        <v>31.26 GiB</v>
      </c>
      <c r="E14" s="13">
        <v>4</v>
      </c>
      <c r="L14" s="35"/>
      <c r="M14" s="27" t="str">
        <v>节点说明</v>
      </c>
      <c r="N14" s="27" t="str">
        <v>说明</v>
      </c>
    </row>
    <row r="15">
      <c r="B15" s="18"/>
      <c r="C15" s="12" t="str">
        <v>节点11</v>
      </c>
      <c r="D15" s="13" t="str">
        <v>31.26 GiB</v>
      </c>
      <c r="E15" s="13">
        <v>4</v>
      </c>
      <c r="L15" s="37" t="str">
        <v>原始</v>
      </c>
      <c r="M15" s="3" t="str">
        <v>业务主存储5T</v>
      </c>
      <c r="N15" s="3" t="str">
        <v>云产品</v>
      </c>
    </row>
    <row r="16">
      <c r="B16" s="18"/>
      <c r="C16" s="12" t="str">
        <v>节点12</v>
      </c>
      <c r="D16" s="13" t="str">
        <v>31.26 GiB</v>
      </c>
      <c r="E16" s="13">
        <v>4</v>
      </c>
      <c r="L16" s="37" t="str">
        <v>医学中心</v>
      </c>
      <c r="M16" s="12" t="str">
        <v>业务主存储5T</v>
      </c>
      <c r="N16" s="12" t="str">
        <v>云产品</v>
      </c>
    </row>
  </sheetData>
  <mergeCells>
    <mergeCell ref="M12:N12"/>
    <mergeCell ref="M13:N13"/>
    <mergeCell ref="L12:L14"/>
    <mergeCell ref="H13:I13"/>
    <mergeCell ref="H14:I14"/>
    <mergeCell ref="G13:G15"/>
    <mergeCell ref="M2:N2"/>
    <mergeCell ref="L7:L8"/>
    <mergeCell ref="L5:L6"/>
    <mergeCell ref="M3:N3"/>
    <mergeCell ref="L2:L4"/>
    <mergeCell ref="G9:G10"/>
    <mergeCell ref="G5:G8"/>
    <mergeCell ref="G2:G4"/>
    <mergeCell ref="H3:I3"/>
    <mergeCell ref="H2:J2"/>
    <mergeCell ref="B13:B16"/>
    <mergeCell ref="B5:B12"/>
    <mergeCell ref="C3:D3"/>
    <mergeCell ref="C2:E2"/>
    <mergeCell ref="B2:B4"/>
  </mergeCells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