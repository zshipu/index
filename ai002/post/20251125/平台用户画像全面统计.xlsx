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3.xml" ContentType="application/vnd.openxmlformats-officedocument.spreadsheetml.workshee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worksheets/sheet12.xml" ContentType="application/vnd.openxmlformats-officedocument.spreadsheetml.workshee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✔1、服务用户年龄与性别分析" sheetId="2" r:id="rId5"/>
    <sheet name="✔2、不同年龄段异常用户比例" sheetId="3" r:id="rId6"/>
    <sheet name="✔3、不同年龄段用户套餐购买比例" sheetId="4" r:id="rId7"/>
    <sheet name="✔4、不同年龄段异常用户套餐购买比例" sheetId="5" r:id="rId8"/>
    <sheet name="✔5、异常用户危急程度分析" sheetId="6" r:id="rId9"/>
    <sheet name="✔6、异常解读结果分析" sheetId="7" r:id="rId10"/>
    <sheet name="✔6.1、异常用户危急程度分析" sheetId="8" r:id="rId11"/>
    <sheet name="✔7、异常人群解读次数分析" sheetId="9" r:id="rId12"/>
    <sheet name="✔7.1、异常人群不同解读次数 具体异常类型以及对应比例" sheetId="10" r:id="rId13"/>
    <sheet name="✔8、不同年龄段套餐用户首月解读次数" sheetId="11" r:id="rId14"/>
    <sheet name="✔9、套餐用户解读次数" sheetId="12" r:id="rId15"/>
    <sheet name="✔10、套餐用户异常类型及比例" sheetId="13" r:id="rId16"/>
    <sheet name="✔11、异常用户付费转化" sheetId="14" r:id="rId17"/>
    <sheet name="✔12、免费使用用户分析" sheetId="15" r:id="rId18"/>
    <sheet name="✔13、每日分时间段服务数分布" sheetId="16" r:id="rId19"/>
    <sheet name="✔14、注册首月测量次数（所有用户、异常、套餐）" sheetId="17" r:id="rId20"/>
    <sheet name="✔15、用户解读服务留存率" sheetId="18" r:id="rId21"/>
    <sheet name="✔16、按照设备类型统计" sheetId="19" r:id="rId22"/>
    <sheet name="✔17、用户付费比例" sheetId="20" r:id="rId23"/>
    <sheet name="18、套餐激活量及使用量统计" sheetId="21" r:id="rId2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<sst xmlns="http://schemas.openxmlformats.org/spreadsheetml/2006/main" count="326" uniqueCount="326">
  <si>
    <t xml:space="preserve">  </t>
  </si>
  <si>
    <t/>
    <r>
      <t xml:space="preserve"> </t>
    </r>
    <r>
      <rPr>
        <sz val="15.5"/>
        <color rgb="FF000000"/>
        <rFont val="Calibri"/>
        <family val="2"/>
      </rPr>
      <t>60-74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</si>
  <si>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年龄段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</si>
  <si>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总人数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</si>
  <si>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5"/>
        <color rgb="FF000000"/>
        <rFont val="Calibri"/>
        <family val="2"/>
      </rPr>
      <t>购买套餐数</t>
    </r>
  </si>
  <si>
    <t/>
    <r>
      <rPr>
        <sz val="18"/>
        <color rgb="FF000000"/>
        <rFont val="Calibri"/>
        <family val="2"/>
      </rPr>
      <t xml:space="preserve"> </t>
    </r>
    <r>
      <rPr>
        <sz val="15"/>
        <color rgb="FF000000"/>
        <rFont val="Calibri"/>
        <family val="2"/>
      </rPr>
      <t>套餐购买比例</t>
    </r>
  </si>
  <si>
    <t/>
    <r>
      <t xml:space="preserve"> </t>
    </r>
    <r>
      <rPr>
        <sz val="15.5"/>
        <color rgb="FF000000"/>
        <rFont val="Calibri"/>
        <family val="2"/>
      </rPr>
      <t>17-24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</si>
  <si>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35-44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</si>
  <si>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&gt;=75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</si>
  <si>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0-16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</si>
  <si>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25-34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</si>
  <si>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45-59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</si>
  <si>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5"/>
        <color rgb="FF000000"/>
        <rFont val="Calibri"/>
        <family val="2"/>
      </rPr>
      <t>异常用户数</t>
    </r>
  </si>
  <si>
    <t/>
    <r>
      <rPr>
        <sz val="18"/>
        <color rgb="FF000000"/>
        <rFont val="Calibri"/>
        <family val="2"/>
      </rPr>
      <t xml:space="preserve"> </t>
    </r>
    <r>
      <rPr>
        <sz val="15"/>
        <color rgb="FF000000"/>
        <rFont val="Calibri"/>
        <family val="2"/>
      </rPr>
      <t>异常用户购买套餐比例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</si>
  <si>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17-24岁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</si>
  <si>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35-44岁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</si>
  <si>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60-74岁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</si>
  <si>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0-16岁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</si>
  <si>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25-34岁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</si>
  <si>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45-59岁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</si>
  <si>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5"/>
        <color rgb="FF000000"/>
        <rFont val="Calibri"/>
        <family val="2"/>
      </rPr>
      <t>75岁及以上</t>
    </r>
  </si>
  <si>
    <t/>
    <r>
      <t xml:space="preserve"> </t>
    </r>
    <r>
      <rPr>
        <sz val="14.500025272369385"/>
        <color rgb="FF000000"/>
        <rFont val="Calibri"/>
        <family val="2"/>
      </rPr>
      <t>8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</si>
  <si>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室性心动过速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</si>
  <si>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回访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</si>
  <si>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日常监测</t>
    </r>
  </si>
  <si>
    <t/>
    <r>
      <t xml:space="preserve"> </t>
    </r>
    <r>
      <rPr>
        <sz val="14.500025272369385"/>
        <color rgb="FF000000"/>
        <rFont val="Calibri"/>
        <family val="2"/>
      </rPr>
      <t>12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</si>
  <si>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心房扑动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</si>
  <si>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16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</si>
  <si>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二度I型房室阻滞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</si>
  <si>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20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</si>
  <si>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T波改变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</si>
  <si>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异常用户数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</si>
  <si>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严重程度</t>
    </r>
  </si>
  <si>
    <t/>
    <r>
      <rPr>
        <sz val="18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建议类型</t>
    </r>
  </si>
  <si>
    <t/>
    <r>
      <t xml:space="preserve"> </t>
    </r>
    <r>
      <rPr>
        <b/>
        <sz val="14.500025272369385"/>
        <color rgb="FF000000"/>
        <rFont val="Calibri"/>
        <family val="2"/>
      </rPr>
      <t>序号</t>
    </r>
    <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</si>
  <si>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异常类型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</si>
  <si>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4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</si>
  <si>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FFC000"/>
        <rFont val="Calibri"/>
        <family val="2"/>
      </rPr>
      <t>三度房室阻滞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</si>
  <si>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FFC000"/>
        <rFont val="Calibri"/>
        <family val="2"/>
      </rPr>
      <t>相对危急</t>
    </r>
  </si>
  <si>
    <t/>
    <r>
      <t xml:space="preserve"> </t>
    </r>
    <r>
      <rPr>
        <sz val="14.500025272369385"/>
        <color rgb="FF000000"/>
        <rFont val="Calibri"/>
        <family val="2"/>
      </rPr>
      <t>9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</si>
  <si>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室上性心动过速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</si>
  <si>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回访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</si>
  <si>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13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</si>
  <si>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二度II型房室阻滞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</si>
  <si>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QT/QTc间期延长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</si>
  <si>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17</t>
    </r>
    <r>
      <t xml:space="preserve"> </t>
    </r>
  </si>
  <si>
    <t/>
    <r>
      <t xml:space="preserve"> </t>
    </r>
    <r>
      <rPr>
        <sz val="14.500025272369385"/>
        <color rgb="FFFF0000"/>
        <rFont val="Calibri"/>
        <family val="2"/>
      </rPr>
      <t>危急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</si>
  <si>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</si>
  <si>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FF0000"/>
        <rFont val="Calibri"/>
        <family val="2"/>
      </rPr>
      <t>心室颤动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</si>
  <si>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5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</si>
  <si>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FFC000"/>
        <rFont val="Calibri"/>
        <family val="2"/>
      </rPr>
      <t>不完全性干扰性房室脱节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</si>
  <si>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10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</si>
  <si>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阵发性心房颤动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</si>
  <si>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14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</si>
  <si>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二度窦房阻滞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</si>
  <si>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18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</si>
  <si>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ST段压低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</si>
  <si>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</si>
  <si>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FF0000"/>
        <rFont val="Calibri"/>
        <family val="2"/>
      </rPr>
      <t>心室扑动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</si>
  <si>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6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</si>
  <si>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窦性停搏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</si>
  <si>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11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</si>
  <si>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心房颤动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</si>
  <si>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15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</si>
  <si>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二度房室阻滞（2:1）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</si>
  <si>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19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</si>
  <si>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ST段抬高</t>
    </r>
    <r>
      <t xml:space="preserve"> </t>
    </r>
  </si>
  <si>
    <t/>
    <r>
      <t xml:space="preserve"> </t>
    </r>
    <r>
      <rPr>
        <sz val="14.500025272369385"/>
        <color rgb="FFFFC000"/>
        <rFont val="Calibri"/>
        <family val="2"/>
      </rPr>
      <t>高度房室阻滞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</si>
  <si>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3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</si>
  <si>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7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</si>
  <si>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RR长间歇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</si>
  <si>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异常类型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</si>
  <si>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异常比例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</si>
  <si>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序号</t>
    </r>
  </si>
  <si>
    <t/>
    <r>
      <t xml:space="preserve"> </t>
    </r>
    <r>
      <rPr>
        <sz val="14.500025272369385"/>
        <color rgb="FF000000"/>
        <rFont val="Calibri"/>
        <family val="2"/>
      </rPr>
      <t>出现次数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</si>
  <si>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序号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</si>
  <si>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异常用户数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</si>
  <si>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解读结果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</si>
  <si>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异常比例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</si>
  <si>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R波电压高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</si>
  <si>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室性早搏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</si>
  <si>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短PR间期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</si>
  <si>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心房颤动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</si>
  <si>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一度房室阻滞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</si>
  <si>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成对房性早搏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</si>
  <si>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心室预激波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</si>
  <si>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QT/QTc</t>
    </r>
    <r>
      <rPr>
        <sz val="14.500025272369385"/>
        <color rgb="FF00B0F0"/>
        <rFont val="Calibri"/>
        <family val="2"/>
      </rPr>
      <t>间期延长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</si>
  <si>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T波部分时间改变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</si>
  <si>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</si>
  <si>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一度房室阻滞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</si>
  <si>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窦性心动过缓伴不齐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</si>
  <si>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短阵房性心动过速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</si>
  <si>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室上性心动过速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</si>
  <si>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ST段抬高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</si>
  <si>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T</t>
    </r>
    <r>
      <rPr>
        <sz val="14.500025272369385"/>
        <color rgb="FF00B0F0"/>
        <rFont val="Calibri"/>
        <family val="2"/>
      </rPr>
      <t>波改变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</si>
  <si>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室内阻滞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</si>
  <si>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P波增宽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</si>
  <si>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心室起搏心律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</si>
  <si>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室性早搏二联律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</si>
  <si>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房性早搏二联律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</si>
  <si>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ST</t>
    </r>
    <r>
      <rPr>
        <sz val="14.500025272369385"/>
        <color rgb="FF00B0F0"/>
        <rFont val="Calibri"/>
        <family val="2"/>
      </rPr>
      <t>段抬高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</si>
  <si>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ST</t>
    </r>
    <r>
      <rPr>
        <sz val="14.500025272369385"/>
        <color rgb="FF00B0F0"/>
        <rFont val="Calibri"/>
        <family val="2"/>
      </rPr>
      <t>段压低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</si>
  <si>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短</t>
    </r>
    <r>
      <rPr>
        <sz val="14.500025272369385"/>
        <color rgb="FF00B0F0"/>
        <rFont val="Calibri"/>
        <family val="2"/>
      </rPr>
      <t>P-R</t>
    </r>
    <r>
      <rPr>
        <sz val="14.500025272369385"/>
        <color rgb="FF00B0F0"/>
        <rFont val="Calibri"/>
        <family val="2"/>
      </rPr>
      <t>间期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</si>
  <si>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QRS波异常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</si>
  <si>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房性早搏未下传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</si>
  <si>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4</t>
    </r>
    <r>
      <t xml:space="preserve"> </t>
    </r>
  </si>
  <si>
    <t/>
    <r>
      <t xml:space="preserve"> </t>
    </r>
    <r>
      <rPr>
        <sz val="12.5"/>
        <color rgb="FFFFC000"/>
        <rFont val="Calibri"/>
        <family val="2"/>
      </rPr>
      <t>三度房室阻滞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</si>
  <si>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室性心动过速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</si>
  <si>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8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</si>
  <si>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12</t>
    </r>
    <r>
      <t xml:space="preserve"> </t>
    </r>
  </si>
  <si>
    <t/>
    <r>
      <t xml:space="preserve"> </t>
    </r>
    <r>
      <rPr>
        <sz val="12.5"/>
        <color rgb="FF92D050"/>
        <rFont val="Calibri"/>
        <family val="2"/>
      </rPr>
      <t>心房扑动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</si>
  <si>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16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</si>
  <si>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二度I型房室阻滞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</si>
  <si>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20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</si>
  <si>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T波改变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</si>
  <si>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序号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</si>
  <si>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异常用户数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</si>
  <si>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出现次数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</si>
  <si>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建议类型</t>
    </r>
  </si>
  <si>
    <t/>
    <r>
      <rPr>
        <b/>
        <sz val="12"/>
        <color rgb="FF000000"/>
        <rFont val="Calibri"/>
        <family val="2"/>
      </rPr>
      <t>异常类型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</si>
  <si>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异常用户占比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</si>
  <si>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严重程度</t>
    </r>
  </si>
  <si>
    <t/>
    <r>
      <rPr>
        <sz val="18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测量频率/人</t>
    </r>
  </si>
  <si>
    <t/>
    <r>
      <t xml:space="preserve"> </t>
    </r>
    <r>
      <rPr>
        <sz val="12.5"/>
        <color rgb="FF000000"/>
        <rFont val="Calibri"/>
        <family val="2"/>
      </rPr>
      <t>5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</si>
  <si>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FFC000"/>
        <rFont val="Calibri"/>
        <family val="2"/>
      </rPr>
      <t>不完全性干扰性房室脱节</t>
    </r>
  </si>
  <si>
    <t/>
    <r>
      <t xml:space="preserve"> </t>
    </r>
    <r>
      <rPr>
        <sz val="12.5"/>
        <color rgb="FF00B0F0"/>
        <rFont val="Calibri"/>
        <family val="2"/>
      </rPr>
      <t>室上性心动过速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</si>
  <si>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9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</si>
  <si>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13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</si>
  <si>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二度II型房室阻滞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</si>
  <si>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17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</si>
  <si>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QT/QTc间期延长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</si>
  <si>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</t>
    </r>
    <r>
      <t xml:space="preserve"> </t>
    </r>
  </si>
  <si>
    <t/>
    <r>
      <t xml:space="preserve"> </t>
    </r>
    <r>
      <rPr>
        <sz val="12.5"/>
        <color rgb="FFFF0000"/>
        <rFont val="Calibri"/>
        <family val="2"/>
      </rPr>
      <t>心室颤动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</si>
  <si>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6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</si>
  <si>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窦性停搏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</si>
  <si>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10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</si>
  <si>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阵发性心房颤动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</si>
  <si>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14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</si>
  <si>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二度窦房阻滞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</si>
  <si>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ST段压低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</si>
  <si>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18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</si>
  <si>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2</t>
    </r>
    <r>
      <t xml:space="preserve"> </t>
    </r>
  </si>
  <si>
    <t/>
    <r>
      <t xml:space="preserve"> </t>
    </r>
    <r>
      <rPr>
        <sz val="12.5"/>
        <color rgb="FFFF0000"/>
        <rFont val="Calibri"/>
        <family val="2"/>
      </rPr>
      <t>心室扑动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</si>
  <si>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3</t>
    </r>
    <r>
      <t xml:space="preserve"> </t>
    </r>
  </si>
  <si>
    <t/>
    <r>
      <t xml:space="preserve"> </t>
    </r>
    <r>
      <rPr>
        <sz val="12.5"/>
        <color rgb="FFFFC000"/>
        <rFont val="Calibri"/>
        <family val="2"/>
      </rPr>
      <t>高度房室阻滞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</si>
  <si>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7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</si>
  <si>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RR长间歇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</si>
  <si>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11</t>
    </r>
    <r>
      <t xml:space="preserve"> </t>
    </r>
  </si>
  <si>
    <t/>
    <r>
      <t xml:space="preserve"> </t>
    </r>
    <r>
      <rPr>
        <sz val="12.5"/>
        <color rgb="FF92D050"/>
        <rFont val="Calibri"/>
        <family val="2"/>
      </rPr>
      <t>心房颤动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</si>
  <si>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二度房室阻滞（2:1）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</si>
  <si>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15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</si>
  <si>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19</t>
    </r>
    <r>
      <t xml:space="preserve"> </t>
    </r>
  </si>
  <si>
    <t/>
    <r>
      <t xml:space="preserve"> </t>
    </r>
    <r>
      <rPr>
        <sz val="12.5"/>
        <color rgb="FF00B0F0"/>
        <rFont val="Calibri"/>
        <family val="2"/>
      </rPr>
      <t>ST段抬高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</si>
  <si>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51-100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</si>
  <si>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房性早搏三联律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</si>
  <si>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房性心动过速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</si>
  <si>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100</t>
    </r>
    <r>
      <rPr>
        <sz val="14.500025272369385"/>
        <color rgb="FF000000"/>
        <rFont val="Calibri"/>
        <family val="2"/>
      </rPr>
      <t>以上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</si>
  <si>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房性逸搏心律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</si>
  <si>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6-10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</si>
  <si>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11-20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</si>
  <si>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总用户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</si>
  <si>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21-50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</si>
  <si>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成对室性早搏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</si>
  <si>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交界性心动过速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</si>
  <si>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B0F0"/>
        <rFont val="Calibri"/>
        <family val="2"/>
      </rPr>
      <t>短阵室性心动过速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</si>
  <si>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用户人数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</si>
  <si>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异常出现频次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</si>
  <si>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解读次数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</si>
  <si>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用户占比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</si>
  <si>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异常用户数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</si>
  <si>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平均使用次数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</si>
  <si>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92D050"/>
        <rFont val="Calibri"/>
        <family val="2"/>
      </rPr>
      <t>室性融合波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</si>
  <si>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日常监测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</si>
  <si>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房性早搏未下传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</si>
  <si>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短阵室性心动过速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</si>
  <si>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T波部分时间改变</t>
    </r>
    <r>
      <t xml:space="preserve"> </t>
    </r>
  </si>
  <si>
    <t/>
    <r>
      <t xml:space="preserve"> </t>
    </r>
    <r>
      <rPr>
        <sz val="14.500025272369385"/>
        <color rgb="FFFFC000"/>
        <rFont val="Calibri"/>
        <family val="2"/>
      </rPr>
      <t>相对危急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</si>
  <si>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二度I型房室阻滞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</si>
  <si>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心室预激波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</si>
  <si>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成对室性早搏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</si>
  <si>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窦性心动过缓伴不齐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</si>
  <si>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交界性逸搏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</si>
  <si>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室性逸搏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</si>
  <si>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短QT/QTc间期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</si>
  <si>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房性早搏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</si>
  <si>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二度窦房阻滞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</si>
  <si>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P波增宽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</si>
  <si>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RR长间歇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</si>
  <si>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短PR间期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</si>
  <si>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室性早搏三联律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</si>
  <si>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ST段压低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</si>
  <si>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短阵房性心动过速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</si>
  <si>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QT/QTc间期延长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</si>
  <si>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室内阻滞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</si>
  <si>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QRS波异常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</si>
  <si>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R波电压高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</si>
  <si>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特殊心电图</t>
    </r>
    <r>
      <t xml:space="preserve"> </t>
    </r>
  </si>
  <si>
    <t/>
    <r>
      <t xml:space="preserve"> </t>
    </r>
    <r>
      <rPr>
        <sz val="14.500025272369385"/>
        <color rgb="FF00B0F0"/>
        <rFont val="Calibri"/>
        <family val="2"/>
      </rPr>
      <t>T波改变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</si>
  <si>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成对房性早搏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</si>
  <si>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心室内差异传导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</si>
  <si>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房性早搏二联律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</si>
  <si>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房性早搏三联律</t>
    </r>
    <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</si>
  <si>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解读结果次数</t>
    </r>
    <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</si>
  <si>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用户数</t>
    </r>
    <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</si>
  <si>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危急程度</t>
    </r>
    <r>
      <t xml:space="preserve"> </t>
    </r>
  </si>
  <si>
    <t/>
    <r>
      <t xml:space="preserve"> </t>
    </r>
    <r>
      <rPr>
        <b/>
        <sz val="14.500025272369385"/>
        <color rgb="FF000000"/>
        <rFont val="Calibri"/>
        <family val="2"/>
      </rPr>
      <t>建议类型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</si>
  <si>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室性早搏二联律</t>
    </r>
    <r>
      <t xml:space="preserve"> </t>
    </r>
  </si>
  <si>
    <t/>
    <r>
      <t xml:space="preserve"> </t>
    </r>
    <r>
      <rPr>
        <sz val="14.500025272369385"/>
        <color rgb="FF92D050"/>
        <rFont val="Calibri"/>
        <family val="2"/>
      </rPr>
      <t>显著的窦性心动过缓</t>
    </r>
    <r>
      <t xml:space="preserve"> </t>
    </r>
  </si>
  <si>
    <t/>
    <r>
      <rPr>
        <sz val="18.5"/>
        <color rgb="FF000000"/>
        <rFont val="Calibri"/>
        <family val="2"/>
      </rPr>
      <t xml:space="preserve"> </t>
    </r>
    <r>
      <rPr>
        <sz val="15.5"/>
        <color rgb="FF000000"/>
        <rFont val="Calibri"/>
        <family val="2"/>
      </rPr>
      <t>年龄段</t>
    </r>
    <r>
      <rPr>
        <sz val="18.5"/>
        <color rgb="FF000000"/>
        <rFont val="Calibri"/>
        <family val="2"/>
      </rP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</si>
  <si>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9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</si>
  <si>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21-50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</si>
  <si>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9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</si>
  <si>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100以上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</si>
  <si>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11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</si>
  <si>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序号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</si>
  <si>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使用次数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</si>
  <si>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序号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</si>
  <si>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使用次数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</si>
  <si>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用户数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</si>
  <si>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用户占比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</si>
  <si>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2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</si>
  <si>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2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</si>
  <si>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</si>
  <si>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3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</si>
  <si>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3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</si>
  <si>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5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</si>
  <si>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4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</si>
  <si>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5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</si>
  <si>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6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</si>
  <si>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6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</si>
  <si>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7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</si>
  <si>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7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</si>
  <si>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6-10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</si>
  <si>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1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</si>
  <si>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0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</si>
  <si>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4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</si>
  <si>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8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</si>
  <si>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11-20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</si>
  <si>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8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</si>
  <si>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10</t>
    </r>
    <r>
      <t xml:space="preserve"> </t>
    </r>
  </si>
  <si>
    <t/>
    <r>
      <t xml:space="preserve"> </t>
    </r>
    <r>
      <rPr>
        <sz val="15.5"/>
        <color rgb="FF000000"/>
        <rFont val="Calibri"/>
        <family val="2"/>
      </rPr>
      <t>51-100</t>
    </r>
    <r>
      <t xml:space="preserve"> </t>
    </r>
  </si>
  <si>
    <t/>
    <r>
      <t xml:space="preserve"> </t>
    </r>
    <r>
      <rPr>
        <sz val="13.499974727630615"/>
        <color rgb="FF000000"/>
        <rFont val="Calibri"/>
        <family val="2"/>
      </rPr>
      <t>10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</si>
  <si>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T波改变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</si>
  <si>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92D050"/>
        <rFont val="Calibri"/>
        <family val="2"/>
      </rPr>
      <t>窦性心律不齐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</si>
  <si>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室内阻滞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</si>
  <si>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室性早搏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</si>
  <si>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窦性心动过缓伴不齐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</si>
  <si>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心房颤动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</si>
  <si>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92D050"/>
        <rFont val="Calibri"/>
        <family val="2"/>
      </rPr>
      <t>房性早搏二联律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</si>
  <si>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QRS波异常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</si>
  <si>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异常比例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</si>
  <si>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解读结果次数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</si>
  <si>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用户数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</si>
  <si>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序号</t>
    </r>
    <r>
      <t xml:space="preserve"> </t>
    </r>
  </si>
  <si>
    <t/>
    <r>
      <t xml:space="preserve"> </t>
    </r>
    <r>
      <rPr>
        <sz val="12.5"/>
        <color rgb="FF000000"/>
        <rFont val="Calibri"/>
        <family val="2"/>
      </rPr>
      <t>总次数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</si>
  <si>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R波电压高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</si>
  <si>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一度房室阻滞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</si>
  <si>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成对房性早搏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</si>
  <si>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房性早搏未下传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</si>
  <si>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成对室性早搏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</si>
  <si>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ST段抬高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</si>
  <si>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房性早搏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</si>
  <si>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P波增宽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</si>
  <si>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2.5"/>
        <color rgb="FF92D050"/>
        <rFont val="Calibri"/>
        <family val="2"/>
      </rPr>
      <t>R波电压高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</si>
  <si>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短阵房性心动过速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</si>
  <si>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QT/QTc间期延长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</si>
  <si>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窦性心律不齐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</si>
  <si>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短PR间期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</si>
  <si>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ST段压低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</si>
  <si>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00B0F0"/>
        <rFont val="Calibri"/>
        <family val="2"/>
      </rPr>
      <t>T波部分时间改变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</si>
  <si>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心室起搏心律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</si>
  <si>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2"/>
        <color rgb="FF92D050"/>
        <rFont val="Calibri"/>
        <family val="2"/>
      </rPr>
      <t>房性早搏二联律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</si>
  <si>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异常用户</t>
    </r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付费数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</si>
  <si>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异常用户</t>
    </r>
    <r>
      <t xml:space="preserve"> </t>
    </r>
    <r>
      <rPr>
        <sz val="14.500025272369385"/>
        <color rgb="FF000000"/>
        <rFont val="Calibri"/>
        <family val="2"/>
      </rPr>
      <t>付费转化率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</si>
  <si>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异常用户</t>
    </r>
    <r>
      <t xml:space="preserve"> </t>
    </r>
    <r>
      <rPr>
        <sz val="14.500025272369385"/>
        <color rgb="FF000000"/>
        <rFont val="Calibri"/>
        <family val="2"/>
      </rPr>
      <t>购买单次服务数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</si>
  <si>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异常用户</t>
    </r>
    <r>
      <t xml:space="preserve"> </t>
    </r>
    <r>
      <rPr>
        <sz val="14.500025272369385"/>
        <color rgb="FF000000"/>
        <rFont val="Calibri"/>
        <family val="2"/>
      </rPr>
      <t>购买套餐数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</si>
  <si>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心电解读量分析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</si>
  <si>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免费次数</t>
    </r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使用完用户数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</si>
  <si>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免费次数</t>
    </r>
    <r>
      <t xml:space="preserve"> </t>
    </r>
    <r>
      <rPr>
        <sz val="14.500025272369385"/>
        <color rgb="FF000000"/>
        <rFont val="Calibri"/>
        <family val="2"/>
      </rPr>
      <t>未使用完用户数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</si>
  <si>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用户数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</si>
  <si>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比例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</si>
  <si>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总用户数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</si>
  <si>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免费次数</t>
    </r>
    <r>
      <t xml:space="preserve"> </t>
    </r>
    <r>
      <rPr>
        <sz val="14.500025272369385"/>
        <color rgb="FF000000"/>
        <rFont val="Calibri"/>
        <family val="2"/>
      </rPr>
      <t>使用完用户比例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</si>
  <si>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免费次数</t>
    </r>
    <r>
      <t xml:space="preserve"> </t>
    </r>
    <r>
      <rPr>
        <sz val="14.500025272369385"/>
        <color rgb="FF000000"/>
        <rFont val="Calibri"/>
        <family val="2"/>
      </rPr>
      <t>未使用完用户比例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</si>
  <si>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免费解读使用次数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</si>
  <si>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</t>
    </r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使用完用户数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</si>
  <si>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免费解读使用完</t>
    </r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购买套餐用户数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</si>
  <si>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免费解读使用完购买套餐及单次付费用户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</si>
  <si>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</t>
    </r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使用完付费用户数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</si>
  <si>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免费解读使用完单次付费用户数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</si>
  <si>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免费解读使用完购买套餐用户比例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</si>
  <si>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合计</t>
    </r>
    <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</si>
  <si>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套餐购买总数</t>
    </r>
    <r>
      <rPr>
        <sz val="18"/>
        <color rgb="FF000000"/>
        <rFont val="Calibri"/>
        <family val="2"/>
      </rPr>
      <t xml:space="preserve"> </t>
    </r>
  </si>
  <si>
    <t/>
    <r>
      <rPr>
        <sz val="18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免费解读使用完购买套餐用户数</t>
    </r>
    <r>
      <rPr>
        <sz val="18"/>
        <color rgb="FF000000"/>
        <rFont val="Calibri"/>
        <family val="2"/>
      </rP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</si>
  <si>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时间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</si>
  <si>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心电解读日平均值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</si>
  <si>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</si>
  <si>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5:00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</si>
  <si>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9:00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</si>
  <si>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13:00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</si>
  <si>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17:00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</si>
  <si>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21:00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</si>
  <si>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0:00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</si>
  <si>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4:00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</si>
  <si>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8:00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</si>
  <si>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12:00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</si>
  <si>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16:00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</si>
  <si>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20:00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</si>
  <si>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时间段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</si>
  <si>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合计次数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</si>
  <si>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3:00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</si>
  <si>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7:00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</si>
  <si>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11:00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</si>
  <si>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15:00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</si>
  <si>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19:00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</si>
  <si>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23:00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</si>
  <si>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</si>
  <si>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6:00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</si>
  <si>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10:00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</si>
  <si>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14:00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</si>
  <si>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18:00</t>
    </r>
    <r>
      <t xml:space="preserve"> </t>
    </r>
  </si>
  <si>
    <t/>
    <r>
      <t xml:space="preserve"> </t>
    </r>
    <r>
      <rPr>
        <sz val="14.500025272369385"/>
        <color rgb="FF000000"/>
        <rFont val="Calibri"/>
        <family val="2"/>
      </rPr>
      <t>22:00</t>
    </r>
    <r>
      <t xml:space="preserve"> </t>
    </r>
  </si>
  <si>
    <t/>
    <r>
      <rPr>
        <sz val="11.500025272369385"/>
        <color rgb="FF000000"/>
        <rFont val="Calibri"/>
        <family val="2"/>
      </rPr>
      <t>7</t>
    </r>
    <r>
      <rPr>
        <sz val="11.500025272369385"/>
        <color rgb="FF000000"/>
        <rFont val="Calibri"/>
        <family val="2"/>
      </rPr>
      <t>月份免费心电解读数量</t>
    </r>
  </si>
  <si>
    <t/>
    <r>
      <rPr>
        <sz val="11.500025272369385"/>
        <color rgb="FF000000"/>
        <rFont val="Calibri"/>
        <family val="2"/>
      </rPr>
      <t>7</t>
    </r>
    <r>
      <rPr>
        <sz val="11.500025272369385"/>
        <color rgb="FF000000"/>
        <rFont val="Calibri"/>
        <family val="2"/>
      </rPr>
      <t>月份付费心电解读数量</t>
    </r>
  </si>
  <si>
    <t/>
    <r>
      <rPr>
        <sz val="11.500025272369385"/>
        <color rgb="FF000000"/>
        <rFont val="Calibri"/>
        <family val="2"/>
      </rPr>
      <t>7</t>
    </r>
    <r>
      <rPr>
        <sz val="11.500025272369385"/>
        <color rgb="FF000000"/>
        <rFont val="Calibri"/>
        <family val="2"/>
      </rPr>
      <t>月份心电解读数量</t>
    </r>
  </si>
  <si>
    <t/>
    <r>
      <rPr>
        <sz val="11.500025272369385"/>
        <color rgb="FF000000"/>
        <rFont val="Calibri"/>
        <family val="2"/>
      </rPr>
      <t>7</t>
    </r>
    <r>
      <rPr>
        <sz val="11.500025272369385"/>
        <color rgb="FF000000"/>
        <rFont val="Calibri"/>
        <family val="2"/>
      </rPr>
      <t>月份包年套餐销售量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</si>
</sst>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164" formatCode="0.0%"/>
    <numFmt numFmtId="165" formatCode="0.00%"/>
    <numFmt numFmtId="166" formatCode="0.0%"/>
    <numFmt numFmtId="167" formatCode="0.0%"/>
    <numFmt numFmtId="168" formatCode="0.0%"/>
    <numFmt numFmtId="169" formatCode="0.0%"/>
    <numFmt numFmtId="170" formatCode="0.00%"/>
    <numFmt numFmtId="171" formatCode="0.00%"/>
    <numFmt numFmtId="172" formatCode="0.00%"/>
    <numFmt numFmtId="173" formatCode="0.00%"/>
    <numFmt numFmtId="174" formatCode="0.000%"/>
    <numFmt numFmtId="175" formatCode="#,##0"/>
    <numFmt numFmtId="176" formatCode="#,##0"/>
    <numFmt numFmtId="177" formatCode="0.00%"/>
    <numFmt numFmtId="178" formatCode="#,##0"/>
    <numFmt numFmtId="179" formatCode="0.00%"/>
    <numFmt numFmtId="180" formatCode="0.00%"/>
    <numFmt numFmtId="181" formatCode="0.00%"/>
    <numFmt numFmtId="182" formatCode="@"/>
    <numFmt numFmtId="183" formatCode="@"/>
    <numFmt numFmtId="184" formatCode="0.00%"/>
    <numFmt numFmtId="185" formatCode="#,##0"/>
    <numFmt numFmtId="186" formatCode="0"/>
    <numFmt numFmtId="187" formatCode="0.00%"/>
    <numFmt numFmtId="188" formatCode="0"/>
    <numFmt numFmtId="189" formatCode="General"/>
    <numFmt numFmtId="190" formatCode="0"/>
    <numFmt numFmtId="191" formatCode="0"/>
    <numFmt numFmtId="192" formatCode="0.00%"/>
  </numFmts>
  <fonts count="25">
    <font>
      <sz val="10"/>
      <color theme="1"/>
      <name val="Calibri"/>
      <family val="2"/>
      <scheme val="minor"/>
    </font>
    <font>
      <sz val="11.500025272369385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5.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sz val="18.5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25"/>
      <color rgb="FF000000"/>
      <name val="Calibri"/>
      <family val="2"/>
      <scheme val="minor"/>
    </font>
    <font>
      <sz val="10.49997472763061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.50002527236938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 val="true"/>
      <sz val="11.500025272369385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4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CCC0DA"/>
        <bgColor/>
      </patternFill>
    </fill>
    <fill>
      <patternFill patternType="solid">
        <fgColor rgb="FFCCC0DA"/>
        <bgColor/>
      </patternFill>
    </fill>
    <fill>
      <patternFill patternType="solid">
        <fgColor rgb="FFCCC0DA"/>
        <bgColor/>
      </patternFill>
    </fill>
    <fill>
      <patternFill patternType="solid">
        <fgColor rgb="FFCCC0DA"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C55A11"/>
        <bgColor/>
      </patternFill>
    </fill>
    <fill>
      <patternFill patternType="solid">
        <fgColor rgb="FFC55A11"/>
        <bgColor/>
      </patternFill>
    </fill>
    <fill>
      <patternFill patternType="solid">
        <fgColor rgb="FFC55A11"/>
        <bgColor/>
      </patternFill>
    </fill>
    <fill>
      <patternFill patternType="solid">
        <fgColor rgb="FFBACEFD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3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/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bottom"/>
    </xf>
    <xf applyAlignment="true" applyBorder="false" applyFill="false" applyFont="true" applyNumberFormat="false" applyProtection="false" borderId="2" fillId="0" fontId="1" numFmtId="0" xfId="0">
      <alignment vertical="bottom"/>
    </xf>
    <xf applyAlignment="true" applyBorder="false" applyFill="false" applyFont="true" applyNumberFormat="false" applyProtection="false" borderId="3" fillId="0" fontId="1" numFmtId="0" xfId="0">
      <alignment vertical="bottom"/>
    </xf>
    <xf applyAlignment="true" applyBorder="false" applyFill="false" applyFont="true" applyNumberFormat="false" applyProtection="false" borderId="4" fillId="0" fontId="2" numFmtId="0" xfId="0">
      <alignment vertical="bottom"/>
    </xf>
    <xf applyAlignment="true" applyBorder="false" applyFill="false" applyFont="true" applyNumberFormat="true" applyProtection="false" borderId="5" fillId="0" fontId="3" numFmtId="165" xfId="0">
      <alignment vertical="center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true" applyProtection="false" borderId="7" fillId="0" fontId="3" numFmtId="166" xfId="0">
      <alignment vertical="center"/>
    </xf>
    <xf applyAlignment="true" applyBorder="false" applyFill="false" applyFont="true" applyNumberFormat="false" applyProtection="false" borderId="8" fillId="0" fontId="1" numFmtId="0" xfId="0">
      <alignment vertical="bottom"/>
    </xf>
    <xf applyAlignment="true" applyBorder="false" applyFill="true" applyFont="true" applyNumberFormat="false" applyProtection="false" borderId="9" fillId="2" fontId="1" numFmtId="0" xfId="0">
      <alignment vertical="bottom"/>
    </xf>
    <xf applyAlignment="true" applyBorder="false" applyFill="true" applyFont="true" applyNumberFormat="false" applyProtection="false" borderId="10" fillId="3" fontId="1" numFmtId="0" xfId="0">
      <alignment vertical="bottom"/>
    </xf>
    <xf applyAlignment="true" applyBorder="false" applyFill="true" applyFont="true" applyNumberFormat="true" applyProtection="false" borderId="11" fillId="4" fontId="1" numFmtId="167" xfId="0">
      <alignment vertical="bottom"/>
    </xf>
    <xf applyAlignment="true" applyBorder="false" applyFill="true" applyFont="true" applyNumberFormat="false" applyProtection="false" borderId="12" fillId="5" fontId="1" numFmtId="0" xfId="0">
      <alignment vertical="bottom"/>
    </xf>
    <xf applyAlignment="true" applyBorder="false" applyFill="true" applyFont="true" applyNumberFormat="false" applyProtection="false" borderId="13" fillId="6" fontId="1" numFmtId="0" xfId="0">
      <alignment vertical="bottom"/>
    </xf>
    <xf applyAlignment="true" applyBorder="false" applyFill="true" applyFont="true" applyNumberFormat="false" applyProtection="false" borderId="14" fillId="7" fontId="1" numFmtId="0" xfId="0">
      <alignment vertical="bottom"/>
    </xf>
    <xf applyAlignment="true" applyBorder="false" applyFill="true" applyFont="true" applyNumberFormat="true" applyProtection="false" borderId="15" fillId="8" fontId="1" numFmtId="168" xfId="0">
      <alignment vertical="bottom"/>
    </xf>
    <xf applyAlignment="true" applyBorder="false" applyFill="false" applyFont="true" applyNumberFormat="false" applyProtection="false" borderId="16" fillId="0" fontId="2" numFmtId="0" xfId="0">
      <alignment vertical="bottom"/>
    </xf>
    <xf applyAlignment="true" applyBorder="false" applyFill="false" applyFont="true" applyNumberFormat="true" applyProtection="false" borderId="17" fillId="0" fontId="1" numFmtId="169" xfId="0">
      <alignment vertical="bottom"/>
    </xf>
    <xf applyAlignment="true" applyBorder="false" applyFill="false" applyFont="true" applyNumberFormat="false" applyProtection="false" borderId="18" fillId="0" fontId="1" numFmtId="0" xfId="0">
      <alignment vertical="bottom" wrapText="true"/>
    </xf>
    <xf applyAlignment="true" applyBorder="false" applyFill="false" applyFont="true" applyNumberFormat="false" applyProtection="false" borderId="19" fillId="0" fontId="2" numFmtId="0" xfId="0">
      <alignment vertical="bottom"/>
    </xf>
    <xf applyAlignment="true" applyBorder="false" applyFill="false" applyFont="true" applyNumberFormat="false" applyProtection="false" borderId="20" fillId="0" fontId="2" numFmtId="0" xfId="0">
      <alignment vertical="bottom"/>
    </xf>
    <xf applyAlignment="true" applyBorder="false" applyFill="true" applyFont="true" applyNumberFormat="false" applyProtection="false" borderId="21" fillId="9" fontId="2" numFmtId="0" xfId="0">
      <alignment vertical="bottom"/>
    </xf>
    <xf applyAlignment="true" applyBorder="false" applyFill="true" applyFont="true" applyNumberFormat="false" applyProtection="false" borderId="22" fillId="10" fontId="2" numFmtId="0" xfId="0">
      <alignment vertical="bottom"/>
    </xf>
    <xf applyAlignment="true" applyBorder="false" applyFill="true" applyFont="true" applyNumberFormat="false" applyProtection="false" borderId="23" fillId="11" fontId="3" numFmtId="0" xfId="0">
      <alignment vertical="center"/>
    </xf>
    <xf applyAlignment="true" applyBorder="false" applyFill="false" applyFont="true" applyNumberFormat="false" applyProtection="false" borderId="24" fillId="0" fontId="1" numFmtId="0" xfId="0">
      <alignment vertical="bottom"/>
    </xf>
    <xf applyAlignment="true" applyBorder="false" applyFill="false" applyFont="true" applyNumberFormat="false" applyProtection="false" borderId="25" fillId="0" fontId="3" numFmtId="0" xfId="0">
      <alignment vertical="center"/>
    </xf>
    <xf applyAlignment="true" applyBorder="false" applyFill="true" applyFont="true" applyNumberFormat="false" applyProtection="false" borderId="26" fillId="12" fontId="1" numFmtId="0" xfId="0">
      <alignment vertical="bottom"/>
    </xf>
    <xf applyAlignment="true" applyBorder="false" applyFill="false" applyFont="true" applyNumberFormat="true" applyProtection="false" borderId="27" fillId="0" fontId="1" numFmtId="170" xfId="0">
      <alignment vertical="bottom"/>
    </xf>
    <xf applyAlignment="true" applyBorder="false" applyFill="true" applyFont="true" applyNumberFormat="false" applyProtection="false" borderId="28" fillId="13" fontId="4" numFmtId="0" xfId="0">
      <alignment horizontal="center" vertical="center" wrapText="true"/>
    </xf>
    <xf applyAlignment="true" applyBorder="false" applyFill="true" applyFont="true" applyNumberFormat="false" applyProtection="false" borderId="29" fillId="14" fontId="4" numFmtId="0" xfId="0">
      <alignment horizontal="center" vertical="center" wrapText="true"/>
    </xf>
    <xf applyAlignment="true" applyBorder="false" applyFill="true" applyFont="true" applyNumberFormat="false" applyProtection="false" borderId="30" fillId="15" fontId="5" numFmtId="0" xfId="0">
      <alignment horizontal="center" vertical="center" wrapText="true"/>
    </xf>
    <xf applyAlignment="true" applyBorder="false" applyFill="false" applyFont="true" applyNumberFormat="false" applyProtection="false" borderId="31" fillId="0" fontId="6" numFmtId="0" xfId="0">
      <alignment vertical="bottom"/>
    </xf>
    <xf applyAlignment="true" applyBorder="false" applyFill="false" applyFont="true" applyNumberFormat="false" applyProtection="false" borderId="32" fillId="0" fontId="7" numFmtId="0" xfId="0">
      <alignment vertical="center" wrapText="true"/>
    </xf>
    <xf applyAlignment="true" applyBorder="false" applyFill="false" applyFont="true" applyNumberFormat="false" applyProtection="false" borderId="33" fillId="0" fontId="1" numFmtId="0" xfId="0">
      <alignment vertical="bottom"/>
    </xf>
    <xf applyAlignment="true" applyBorder="false" applyFill="false" applyFont="true" applyNumberFormat="false" applyProtection="false" borderId="34" fillId="0" fontId="3" numFmtId="0" xfId="0">
      <alignment vertical="center"/>
    </xf>
    <xf applyAlignment="true" applyBorder="false" applyFill="false" applyFont="true" applyNumberFormat="false" applyProtection="false" borderId="35" fillId="0" fontId="8" numFmtId="0" xfId="0">
      <alignment horizontal="center" vertical="center" wrapText="true"/>
    </xf>
    <xf applyAlignment="true" applyBorder="false" applyFill="false" applyFont="true" applyNumberFormat="false" applyProtection="false" borderId="36" fillId="0" fontId="9" numFmtId="0" xfId="0">
      <alignment horizontal="center" vertical="center" wrapText="true"/>
    </xf>
    <xf applyAlignment="true" applyBorder="false" applyFill="false" applyFont="true" applyNumberFormat="true" applyProtection="false" borderId="37" fillId="0" fontId="8" numFmtId="171" xfId="0">
      <alignment horizontal="center" vertical="center" wrapText="true"/>
    </xf>
    <xf applyAlignment="true" applyBorder="false" applyFill="false" applyFont="true" applyNumberFormat="false" applyProtection="false" borderId="38" fillId="0" fontId="10" numFmtId="0" xfId="0">
      <alignment horizontal="center" vertical="center" wrapText="true"/>
    </xf>
    <xf applyAlignment="true" applyBorder="false" applyFill="false" applyFont="true" applyNumberFormat="false" applyProtection="false" borderId="39" fillId="0" fontId="1" numFmtId="0" xfId="0">
      <alignment vertical="center" wrapText="true"/>
    </xf>
    <xf applyAlignment="true" applyBorder="false" applyFill="false" applyFont="true" applyNumberFormat="false" applyProtection="false" borderId="40" fillId="0" fontId="11" numFmtId="0" xfId="0">
      <alignment vertical="center" wrapText="true"/>
    </xf>
    <xf applyAlignment="true" applyBorder="false" applyFill="false" applyFont="true" applyNumberFormat="false" applyProtection="false" borderId="41" fillId="0" fontId="8" numFmtId="0" xfId="0">
      <alignment horizontal="center" vertical="center" wrapText="true"/>
    </xf>
    <xf applyAlignment="true" applyBorder="false" applyFill="false" applyFont="true" applyNumberFormat="true" applyProtection="false" borderId="42" fillId="0" fontId="9" numFmtId="172" xfId="0">
      <alignment horizontal="center" vertical="center" wrapText="true"/>
    </xf>
    <xf applyAlignment="true" applyBorder="false" applyFill="false" applyFont="true" applyNumberFormat="false" applyProtection="false" borderId="43" fillId="0" fontId="12" numFmtId="0" xfId="0">
      <alignment horizontal="center" vertical="center"/>
    </xf>
    <xf applyAlignment="true" applyBorder="false" applyFill="false" applyFont="true" applyNumberFormat="false" applyProtection="false" borderId="44" fillId="0" fontId="13" numFmtId="0" xfId="0">
      <alignment horizontal="center" vertical="center"/>
    </xf>
    <xf applyAlignment="true" applyBorder="false" applyFill="false" applyFont="true" applyNumberFormat="false" applyProtection="false" borderId="45" fillId="0" fontId="8" numFmtId="0" xfId="0">
      <alignment horizontal="center" vertical="bottom" wrapText="true"/>
    </xf>
    <xf applyAlignment="true" applyBorder="false" applyFill="false" applyFont="true" applyNumberFormat="false" applyProtection="false" borderId="46" fillId="0" fontId="9" numFmtId="0" xfId="0">
      <alignment horizontal="center" vertical="bottom" wrapText="true"/>
    </xf>
    <xf applyAlignment="true" applyBorder="false" applyFill="false" applyFont="true" applyNumberFormat="true" applyProtection="false" borderId="47" fillId="0" fontId="9" numFmtId="173" xfId="0">
      <alignment horizontal="center" vertical="bottom" wrapText="true"/>
    </xf>
    <xf applyAlignment="true" applyBorder="false" applyFill="false" applyFont="true" applyNumberFormat="false" applyProtection="false" borderId="48" fillId="0" fontId="8" numFmtId="0" xfId="0">
      <alignment horizontal="center" vertical="bottom" wrapText="true"/>
    </xf>
    <xf applyAlignment="true" applyBorder="false" applyFill="false" applyFont="true" applyNumberFormat="false" applyProtection="false" borderId="49" fillId="0" fontId="14" numFmtId="0" xfId="0">
      <alignment vertical="center"/>
    </xf>
    <xf applyAlignment="true" applyBorder="false" applyFill="false" applyFont="true" applyNumberFormat="false" applyProtection="false" borderId="50" fillId="0" fontId="12" numFmtId="0" xfId="0">
      <alignment horizontal="center" vertical="center"/>
    </xf>
    <xf applyAlignment="true" applyBorder="false" applyFill="false" applyFont="true" applyNumberFormat="false" applyProtection="false" borderId="51" fillId="0" fontId="3" numFmtId="0" xfId="0">
      <alignment horizontal="center" vertical="center"/>
    </xf>
    <xf applyAlignment="true" applyBorder="false" applyFill="false" applyFont="true" applyNumberFormat="false" applyProtection="false" borderId="52" fillId="0" fontId="1" numFmtId="0" xfId="0">
      <alignment vertical="center"/>
    </xf>
    <xf applyAlignment="true" applyBorder="false" applyFill="false" applyFont="true" applyNumberFormat="false" applyProtection="false" borderId="53" fillId="0" fontId="9" numFmtId="0" xfId="0">
      <alignment horizontal="center" vertical="center" wrapText="true"/>
    </xf>
    <xf applyAlignment="true" applyBorder="false" applyFill="false" applyFont="true" applyNumberFormat="false" applyProtection="false" borderId="54" fillId="0" fontId="15" numFmtId="0" xfId="0">
      <alignment horizontal="center" vertical="center"/>
    </xf>
    <xf applyAlignment="true" applyBorder="false" applyFill="false" applyFont="true" applyNumberFormat="false" applyProtection="false" borderId="55" fillId="0" fontId="8" numFmtId="0" xfId="0">
      <alignment horizontal="center" vertical="center" wrapText="true"/>
    </xf>
    <xf applyAlignment="true" applyBorder="false" applyFill="true" applyFont="true" applyNumberFormat="false" applyProtection="false" borderId="56" fillId="16" fontId="8" numFmtId="0" xfId="0">
      <alignment horizontal="center" vertical="center" wrapText="true"/>
    </xf>
    <xf applyAlignment="true" applyBorder="false" applyFill="true" applyFont="true" applyNumberFormat="false" applyProtection="false" borderId="57" fillId="17" fontId="9" numFmtId="0" xfId="0">
      <alignment horizontal="center" vertical="center" wrapText="true"/>
    </xf>
    <xf applyAlignment="true" applyBorder="false" applyFill="false" applyFont="true" applyNumberFormat="true" applyProtection="false" borderId="58" fillId="0" fontId="3" numFmtId="174" xfId="0">
      <alignment vertical="center"/>
    </xf>
    <xf applyAlignment="true" applyBorder="false" applyFill="false" applyFont="true" applyNumberFormat="false" applyProtection="false" borderId="59" fillId="0" fontId="7" numFmtId="0" xfId="0">
      <alignment vertical="center"/>
    </xf>
    <xf applyAlignment="true" applyBorder="false" applyFill="false" applyFont="true" applyNumberFormat="false" applyProtection="false" borderId="60" fillId="0" fontId="15" numFmtId="0" xfId="0">
      <alignment vertical="center"/>
    </xf>
    <xf applyAlignment="true" applyBorder="false" applyFill="false" applyFont="true" applyNumberFormat="true" applyProtection="false" borderId="61" fillId="0" fontId="3" numFmtId="175" xfId="0">
      <alignment vertical="center"/>
    </xf>
    <xf applyAlignment="true" applyBorder="false" applyFill="false" applyFont="true" applyNumberFormat="false" applyProtection="false" borderId="62" fillId="0" fontId="15" numFmtId="0" xfId="0">
      <alignment horizontal="center" vertical="center"/>
    </xf>
    <xf applyAlignment="true" applyBorder="false" applyFill="false" applyFont="true" applyNumberFormat="true" applyProtection="false" borderId="63" fillId="0" fontId="9" numFmtId="176" xfId="0">
      <alignment vertical="center" wrapText="true"/>
    </xf>
    <xf applyAlignment="true" applyBorder="false" applyFill="false" applyFont="true" applyNumberFormat="true" applyProtection="false" borderId="64" fillId="0" fontId="9" numFmtId="177" xfId="0">
      <alignment vertical="center" wrapText="true"/>
    </xf>
    <xf applyAlignment="true" applyBorder="false" applyFill="false" applyFont="true" applyNumberFormat="true" applyProtection="false" borderId="65" fillId="0" fontId="9" numFmtId="178" xfId="0">
      <alignment horizontal="center" vertical="center" wrapText="true"/>
    </xf>
    <xf applyAlignment="true" applyBorder="false" applyFill="false" applyFont="true" applyNumberFormat="false" applyProtection="false" borderId="66" fillId="0" fontId="8" numFmtId="0" xfId="0">
      <alignment vertical="center" wrapText="true"/>
    </xf>
    <xf applyAlignment="true" applyBorder="false" applyFill="false" applyFont="true" applyNumberFormat="false" applyProtection="false" borderId="67" fillId="0" fontId="9" numFmtId="0" xfId="0">
      <alignment vertical="center" wrapText="true"/>
    </xf>
    <xf applyAlignment="true" applyBorder="false" applyFill="true" applyFont="true" applyNumberFormat="false" applyProtection="false" borderId="68" fillId="18" fontId="9" numFmtId="0" xfId="0">
      <alignment horizontal="center" vertical="center" wrapText="true"/>
    </xf>
    <xf applyAlignment="true" applyBorder="false" applyFill="true" applyFont="true" applyNumberFormat="true" applyProtection="false" borderId="69" fillId="19" fontId="9" numFmtId="179" xfId="0">
      <alignment horizontal="center" vertical="center" wrapText="true"/>
    </xf>
    <xf applyAlignment="true" applyBorder="false" applyFill="true" applyFont="true" applyNumberFormat="false" applyProtection="false" borderId="70" fillId="20" fontId="8" numFmtId="0" xfId="0">
      <alignment horizontal="center" vertical="center" wrapText="true"/>
    </xf>
    <xf applyAlignment="true" applyBorder="false" applyFill="true" applyFont="true" applyNumberFormat="false" applyProtection="false" borderId="71" fillId="21" fontId="8" numFmtId="0" xfId="0">
      <alignment horizontal="center" vertical="center" wrapText="true"/>
    </xf>
    <xf applyAlignment="true" applyBorder="false" applyFill="true" applyFont="true" applyNumberFormat="false" applyProtection="false" borderId="72" fillId="22" fontId="9" numFmtId="0" xfId="0">
      <alignment horizontal="center" vertical="center" wrapText="true"/>
    </xf>
    <xf applyAlignment="true" applyBorder="false" applyFill="true" applyFont="true" applyNumberFormat="true" applyProtection="false" borderId="73" fillId="23" fontId="9" numFmtId="180" xfId="0">
      <alignment horizontal="center" vertical="center" wrapText="true"/>
    </xf>
    <xf applyAlignment="true" applyBorder="false" applyFill="true" applyFont="true" applyNumberFormat="false" applyProtection="false" borderId="74" fillId="24" fontId="8" numFmtId="0" xfId="0">
      <alignment horizontal="center" vertical="center" wrapText="true"/>
    </xf>
    <xf applyAlignment="true" applyBorder="false" applyFill="true" applyFont="true" applyNumberFormat="false" applyProtection="false" borderId="75" fillId="25" fontId="9" numFmtId="0" xfId="0">
      <alignment horizontal="center" vertical="center" wrapText="true"/>
    </xf>
    <xf applyAlignment="true" applyBorder="false" applyFill="true" applyFont="true" applyNumberFormat="true" applyProtection="false" borderId="76" fillId="26" fontId="9" numFmtId="181" xfId="0">
      <alignment horizontal="center" vertical="center" wrapText="true"/>
    </xf>
    <xf applyAlignment="true" applyBorder="false" applyFill="false" applyFont="true" applyNumberFormat="true" applyProtection="false" borderId="77" fillId="0" fontId="3" numFmtId="182" xfId="0">
      <alignment horizontal="right" vertical="center"/>
    </xf>
    <xf applyAlignment="true" applyBorder="false" applyFill="false" applyFont="true" applyNumberFormat="false" applyProtection="false" borderId="78" fillId="0" fontId="3" numFmtId="0" xfId="0">
      <alignment vertical="center"/>
    </xf>
    <xf applyAlignment="true" applyBorder="false" applyFill="false" applyFont="true" applyNumberFormat="true" applyProtection="false" borderId="79" fillId="0" fontId="3" numFmtId="183" xfId="0">
      <alignment horizontal="right" vertical="center"/>
    </xf>
    <xf applyAlignment="true" applyBorder="false" applyFill="true" applyFont="true" applyNumberFormat="false" applyProtection="false" borderId="80" fillId="27" fontId="3" numFmtId="0" xfId="0">
      <alignment horizontal="center" vertical="center"/>
    </xf>
    <xf applyAlignment="true" applyBorder="false" applyFill="false" applyFont="true" applyNumberFormat="false" applyProtection="false" borderId="81" fillId="0" fontId="3" numFmtId="0" xfId="0">
      <alignment vertical="center"/>
    </xf>
    <xf applyAlignment="true" applyBorder="false" applyFill="false" applyFont="true" applyNumberFormat="true" applyProtection="false" borderId="82" fillId="0" fontId="3" numFmtId="184" xfId="0">
      <alignment vertical="center"/>
    </xf>
    <xf applyAlignment="true" applyBorder="false" applyFill="false" applyFont="true" applyNumberFormat="false" applyProtection="false" borderId="83" fillId="0" fontId="3" numFmtId="0" xfId="0">
      <alignment horizontal="left" vertical="center"/>
    </xf>
    <xf applyAlignment="true" applyBorder="false" applyFill="true" applyFont="true" applyNumberFormat="false" applyProtection="false" borderId="84" fillId="28" fontId="2" numFmtId="0" xfId="0">
      <alignment vertical="center"/>
    </xf>
    <xf applyAlignment="true" applyBorder="false" applyFill="true" applyFont="true" applyNumberFormat="false" applyProtection="false" borderId="85" fillId="29" fontId="1" numFmtId="0" xfId="0">
      <alignment vertical="center"/>
    </xf>
    <xf applyAlignment="true" applyBorder="false" applyFill="true" applyFont="true" applyNumberFormat="false" applyProtection="false" borderId="86" fillId="30" fontId="1" numFmtId="0" xfId="0">
      <alignment vertical="center"/>
    </xf>
    <xf applyAlignment="true" applyBorder="false" applyFill="true" applyFont="true" applyNumberFormat="false" applyProtection="false" borderId="87" fillId="31" fontId="11" numFmtId="0" xfId="0">
      <alignment vertical="center"/>
    </xf>
    <xf applyAlignment="true" applyBorder="false" applyFill="false" applyFont="true" applyNumberFormat="false" applyProtection="false" borderId="88" fillId="0" fontId="2" numFmtId="0" xfId="0">
      <alignment vertical="center"/>
    </xf>
    <xf applyAlignment="true" applyBorder="false" applyFill="false" applyFont="true" applyNumberFormat="true" applyProtection="false" borderId="89" fillId="0" fontId="2" numFmtId="185" xfId="0">
      <alignment vertical="center"/>
    </xf>
    <xf applyAlignment="true" applyBorder="false" applyFill="false" applyFont="true" applyNumberFormat="false" applyProtection="false" borderId="90" fillId="0" fontId="2" numFmtId="0" xfId="0">
      <alignment vertical="center"/>
    </xf>
    <xf applyAlignment="true" applyBorder="false" applyFill="false" applyFont="true" applyNumberFormat="false" applyProtection="false" borderId="91" fillId="0" fontId="1" numFmtId="0" xfId="0">
      <alignment vertical="center"/>
    </xf>
    <xf applyAlignment="true" applyBorder="false" applyFill="false" applyFont="true" applyNumberFormat="false" applyProtection="false" borderId="92" fillId="0" fontId="16" numFmtId="0" xfId="0">
      <alignment vertical="center"/>
    </xf>
    <xf applyAlignment="true" applyBorder="false" applyFill="false" applyFont="true" applyNumberFormat="false" applyProtection="false" borderId="93" fillId="0" fontId="17" numFmtId="0" xfId="0">
      <alignment vertical="center"/>
    </xf>
    <xf applyAlignment="true" applyBorder="false" applyFill="false" applyFont="true" applyNumberFormat="false" applyProtection="false" borderId="94" fillId="0" fontId="18" numFmtId="0" xfId="0">
      <alignment horizontal="right" vertical="center"/>
    </xf>
    <xf applyAlignment="true" applyBorder="false" applyFill="false" applyFont="true" applyNumberFormat="false" applyProtection="false" borderId="95" fillId="0" fontId="16" numFmtId="0" xfId="0">
      <alignment horizontal="right" vertical="center"/>
    </xf>
    <xf applyAlignment="true" applyBorder="false" applyFill="false" applyFont="true" applyNumberFormat="false" applyProtection="false" borderId="96" fillId="0" fontId="16" numFmtId="0" xfId="0">
      <alignment horizontal="left" vertical="center"/>
    </xf>
    <xf applyAlignment="true" applyBorder="false" applyFill="false" applyFont="true" applyNumberFormat="false" applyProtection="false" borderId="97" fillId="0" fontId="16" numFmtId="0" xfId="0">
      <alignment horizontal="right" vertical="center"/>
    </xf>
    <xf applyAlignment="true" applyBorder="false" applyFill="false" applyFont="true" applyNumberFormat="false" applyProtection="false" borderId="98" fillId="0" fontId="11" numFmtId="0" xfId="0">
      <alignment horizontal="right" vertical="center"/>
    </xf>
    <xf applyAlignment="true" applyBorder="false" applyFill="false" applyFont="true" applyNumberFormat="false" applyProtection="false" borderId="99" fillId="0" fontId="11" numFmtId="0" xfId="0">
      <alignment horizontal="left" vertical="center"/>
    </xf>
    <xf applyAlignment="true" applyBorder="false" applyFill="false" applyFont="true" applyNumberFormat="false" applyProtection="false" borderId="100" fillId="0" fontId="1" numFmtId="0" xfId="0">
      <alignment horizontal="left" vertical="center"/>
    </xf>
    <xf applyAlignment="true" applyBorder="false" applyFill="false" applyFont="true" applyNumberFormat="false" applyProtection="false" borderId="101" fillId="0" fontId="19" numFmtId="0" xfId="0">
      <alignment horizontal="right" vertical="center"/>
    </xf>
    <xf applyAlignment="true" applyBorder="false" applyFill="false" applyFont="true" applyNumberFormat="false" applyProtection="false" borderId="102" fillId="0" fontId="11" numFmtId="0" xfId="0">
      <alignment vertical="center"/>
    </xf>
    <xf applyAlignment="true" applyBorder="false" applyFill="false" applyFont="true" applyNumberFormat="false" applyProtection="false" borderId="103" fillId="0" fontId="19" numFmtId="0" xfId="0">
      <alignment horizontal="left" vertical="center"/>
    </xf>
    <xf applyAlignment="true" applyBorder="false" applyFill="false" applyFont="true" applyNumberFormat="false" applyProtection="false" borderId="104" fillId="0" fontId="2" numFmtId="0" xfId="0">
      <alignment vertical="center"/>
    </xf>
    <xf applyAlignment="true" applyBorder="false" applyFill="false" applyFont="true" applyNumberFormat="false" applyProtection="false" borderId="105" fillId="0" fontId="1" numFmtId="0" xfId="0">
      <alignment vertical="center"/>
    </xf>
    <xf applyAlignment="true" applyBorder="false" applyFill="true" applyFont="true" applyNumberFormat="false" applyProtection="false" borderId="106" fillId="32" fontId="20" numFmtId="0" xfId="0">
      <alignment vertical="center"/>
    </xf>
    <xf applyAlignment="true" applyBorder="false" applyFill="true" applyFont="true" applyNumberFormat="false" applyProtection="false" borderId="107" fillId="33" fontId="20" numFmtId="0" xfId="0">
      <alignment vertical="center"/>
    </xf>
    <xf applyAlignment="true" applyBorder="false" applyFill="true" applyFont="true" applyNumberFormat="false" applyProtection="false" borderId="108" fillId="34" fontId="21" numFmtId="0" xfId="0">
      <alignment vertical="center"/>
    </xf>
    <xf applyAlignment="true" applyBorder="false" applyFill="true" applyFont="true" applyNumberFormat="false" applyProtection="false" borderId="109" fillId="35" fontId="20" numFmtId="0" xfId="0">
      <alignment vertical="center"/>
    </xf>
    <xf applyAlignment="true" applyBorder="false" applyFill="false" applyFont="true" applyNumberFormat="false" applyProtection="false" borderId="110" fillId="0" fontId="2" numFmtId="0" xfId="0">
      <alignment vertical="center"/>
    </xf>
    <xf applyAlignment="true" applyBorder="false" applyFill="false" applyFont="true" applyNumberFormat="false" applyProtection="false" borderId="111" fillId="0" fontId="18" numFmtId="0" xfId="0">
      <alignment vertical="center"/>
    </xf>
    <xf applyAlignment="true" applyBorder="false" applyFill="true" applyFont="true" applyNumberFormat="false" applyProtection="false" borderId="112" fillId="36" fontId="6" numFmtId="0" xfId="0">
      <alignment vertical="center"/>
    </xf>
    <xf applyAlignment="true" applyBorder="false" applyFill="true" applyFont="true" applyNumberFormat="false" applyProtection="false" borderId="113" fillId="37" fontId="1" numFmtId="0" xfId="0">
      <alignment horizontal="left" vertical="center"/>
    </xf>
    <xf applyAlignment="true" applyBorder="false" applyFill="false" applyFont="true" applyNumberFormat="false" applyProtection="false" borderId="114" fillId="0" fontId="22" numFmtId="0" xfId="0">
      <alignment horizontal="right" vertical="center"/>
    </xf>
    <xf applyAlignment="true" applyBorder="false" applyFill="false" applyFont="true" applyNumberFormat="false" applyProtection="false" borderId="115" fillId="0" fontId="22" numFmtId="0" xfId="0">
      <alignment horizontal="right" vertical="center"/>
    </xf>
    <xf applyAlignment="true" applyBorder="false" applyFill="false" applyFont="true" applyNumberFormat="false" applyProtection="false" borderId="116" fillId="0" fontId="22" numFmtId="0" xfId="0">
      <alignment horizontal="right" vertical="center"/>
    </xf>
    <xf applyAlignment="true" applyBorder="false" applyFill="false" applyFont="true" applyNumberFormat="false" applyProtection="false" borderId="117" fillId="0" fontId="22" numFmtId="0" xfId="0">
      <alignment vertical="center"/>
    </xf>
    <xf applyAlignment="true" applyBorder="false" applyFill="false" applyFont="true" applyNumberFormat="false" applyProtection="false" borderId="118" fillId="0" fontId="22" numFmtId="0" xfId="0">
      <alignment horizontal="right" vertical="center"/>
    </xf>
    <xf applyAlignment="true" applyBorder="false" applyFill="true" applyFont="true" applyNumberFormat="false" applyProtection="false" borderId="119" fillId="38" fontId="2" numFmtId="0" xfId="0">
      <alignment vertical="center"/>
    </xf>
    <xf applyAlignment="true" applyBorder="false" applyFill="false" applyFont="true" applyNumberFormat="false" applyProtection="false" borderId="120" fillId="0" fontId="19" numFmtId="0" xfId="0">
      <alignment vertical="center"/>
    </xf>
    <xf applyAlignment="true" applyBorder="false" applyFill="false" applyFont="true" applyNumberFormat="false" applyProtection="false" borderId="121" fillId="0" fontId="2" numFmtId="0" xfId="0">
      <alignment vertical="center"/>
    </xf>
    <xf applyAlignment="true" applyBorder="false" applyFill="true" applyFont="true" applyNumberFormat="false" applyProtection="false" borderId="122" fillId="39" fontId="1" numFmtId="0" xfId="0">
      <alignment horizontal="center" vertical="center"/>
    </xf>
    <xf applyAlignment="true" applyBorder="false" applyFill="true" applyFont="true" applyNumberFormat="false" applyProtection="false" borderId="123" fillId="40" fontId="1" numFmtId="0" xfId="0">
      <alignment vertical="center" wrapText="true"/>
    </xf>
    <xf applyAlignment="true" applyBorder="false" applyFill="false" applyFont="true" applyNumberFormat="false" applyProtection="false" borderId="124" fillId="0" fontId="11" numFmtId="0" xfId="0">
      <alignment horizontal="left" vertical="center"/>
    </xf>
    <xf applyAlignment="true" applyBorder="false" applyFill="false" applyFont="true" applyNumberFormat="false" applyProtection="false" borderId="125" fillId="0" fontId="1" numFmtId="0" xfId="0">
      <alignment vertical="center"/>
    </xf>
    <xf applyAlignment="true" applyBorder="false" applyFill="false" applyFont="true" applyNumberFormat="true" applyProtection="false" borderId="126" fillId="0" fontId="1" numFmtId="186" xfId="0">
      <alignment vertical="center"/>
    </xf>
    <xf applyAlignment="true" applyBorder="false" applyFill="false" applyFont="true" applyNumberFormat="true" applyProtection="false" borderId="127" fillId="0" fontId="1" numFmtId="187" xfId="0">
      <alignment vertical="center"/>
    </xf>
    <xf applyAlignment="true" applyBorder="false" applyFill="false" applyFont="true" applyNumberFormat="true" applyProtection="false" borderId="128" fillId="0" fontId="19" numFmtId="188" xfId="0">
      <alignment vertical="center"/>
    </xf>
    <xf applyAlignment="true" applyBorder="false" applyFill="false" applyFont="true" applyNumberFormat="true" applyProtection="false" borderId="129" fillId="0" fontId="11" numFmtId="189" xfId="0">
      <alignment vertical="center"/>
    </xf>
    <xf applyAlignment="true" applyBorder="false" applyFill="true" applyFont="true" applyNumberFormat="true" applyProtection="false" borderId="130" fillId="41" fontId="23" numFmtId="190" xfId="0">
      <alignment vertical="center"/>
    </xf>
    <xf applyAlignment="true" applyBorder="false" applyFill="true" applyFont="true" applyNumberFormat="false" applyProtection="false" borderId="131" fillId="42" fontId="23" numFmtId="0" xfId="0">
      <alignment horizontal="left" vertical="center"/>
    </xf>
    <xf applyAlignment="true" applyBorder="false" applyFill="true" applyFont="true" applyNumberFormat="false" applyProtection="false" borderId="132" fillId="43" fontId="23" numFmtId="0" xfId="0">
      <alignment vertical="center"/>
    </xf>
    <xf applyAlignment="true" applyBorder="false" applyFill="true" applyFont="true" applyNumberFormat="true" applyProtection="false" borderId="133" fillId="44" fontId="23" numFmtId="191" xfId="0">
      <alignment vertical="center" wrapText="true"/>
    </xf>
    <xf applyAlignment="true" applyBorder="false" applyFill="true" applyFont="true" applyNumberFormat="true" applyProtection="false" borderId="134" fillId="45" fontId="23" numFmtId="192" xfId="0">
      <alignment vertical="center"/>
    </xf>
    <xf applyAlignment="true" applyBorder="false" applyFill="true" applyFont="true" applyNumberFormat="false" applyProtection="false" borderId="135" fillId="46" fontId="24" numFmtId="0" xfId="0">
      <alignment vertical="center"/>
    </xf>
    <xf applyAlignment="true" applyBorder="false" applyFill="true" applyFont="true" applyNumberFormat="false" applyProtection="false" borderId="136" fillId="47" fontId="24" numFmtId="0" xfId="0">
      <alignment horizontal="left" vertical="center"/>
    </xf>
    <xf applyAlignment="true" applyBorder="false" applyFill="false" applyFont="true" applyNumberFormat="false" applyProtection="false" borderId="137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人数，比例 100%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'✔1、服务用户年龄与性别分析'!$B$1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'✔1、服务用户年龄与性别分析'!$A$2:$A$6</f>
            </strRef>
          </cat>
          <val>
            <numRef>
              <f>'✔1、服务用户年龄与性别分析'!$B$2:$B$6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'✔1、服务用户年龄与性别分析'!$C$1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'✔1、服务用户年龄与性别分析'!$A$2:$A$6</f>
            </strRef>
          </cat>
          <val>
            <numRef>
              <f>'✔1、服务用户年龄与性别分析'!$C$2:$C$6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人数，比例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'✔1、服务用户年龄与性别分析'!$F$1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'✔1、服务用户年龄与性别分析'!$E$2:$E$4</f>
            </strRef>
          </cat>
          <val>
            <numRef>
              <f>'✔1、服务用户年龄与性别分析'!$F$2:$F$4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'✔1、服务用户年龄与性别分析'!$G$1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'✔1、服务用户年龄与性别分析'!$E$2:$E$4</f>
            </strRef>
          </cat>
          <val>
            <numRef>
              <f>'✔1、服务用户年龄与性别分析'!$G$2:$G$4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人数，比例 100%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'✔1、服务用户年龄与性别分析'!$B$27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'✔1、服务用户年龄与性别分析'!$A$28:$A$33</f>
            </strRef>
          </cat>
          <val>
            <numRef>
              <f>'✔1、服务用户年龄与性别分析'!$B$28:$B$33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'✔1、服务用户年龄与性别分析'!$C$27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'✔1、服务用户年龄与性别分析'!$A$28:$A$33</f>
            </strRef>
          </cat>
          <val>
            <numRef>
              <f>'✔1、服务用户年龄与性别分析'!$C$28:$C$33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4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人数，比例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'✔1、服务用户年龄与性别分析'!$F$27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'✔1、服务用户年龄与性别分析'!$E$28:$E$30</f>
            </strRef>
          </cat>
          <val>
            <numRef>
              <f>'✔1、服务用户年龄与性别分析'!$F$28:$F$30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'✔1、服务用户年龄与性别分析'!$G$27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'✔1、服务用户年龄与性别分析'!$E$28:$E$30</f>
            </strRef>
          </cat>
          <val>
            <numRef>
              <f>'✔1、服务用户年龄与性别分析'!$G$28:$G$30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5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总人数，异常用户数，异常用户比例 100%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'✔2、不同年龄段异常用户比例'!$B$1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'✔2、不同年龄段异常用户比例'!$A$2:$A$8</f>
            </strRef>
          </cat>
          <val>
            <numRef>
              <f>'✔2、不同年龄段异常用户比例'!$B$2:$B$8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'✔2、不同年龄段异常用户比例'!$D$1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'✔2、不同年龄段异常用户比例'!$A$2:$A$8</f>
            </strRef>
          </cat>
          <val>
            <numRef>
              <f>'✔2、不同年龄段异常用户比例'!$D$2:$D$8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6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 总人数 ， 购买套餐用户数， 套餐购买比例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'✔3、不同年龄段用户套餐购买比例'!$B$1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'✔3、不同年龄段用户套餐购买比例'!$A$2:$A$8</f>
            </strRef>
          </cat>
          <val>
            <numRef>
              <f>'✔3、不同年龄段用户套餐购买比例'!$B$2:$B$8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'✔3、不同年龄段用户套餐购买比例'!$D$1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'✔3、不同年龄段用户套餐购买比例'!$A$2:$A$8</f>
            </strRef>
          </cat>
          <val>
            <numRef>
              <f>'✔3、不同年龄段用户套餐购买比例'!$D$2:$D$8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7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 异常用户数，异常用户 购买套餐用户数 ， 异常用户购买套餐比例 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'✔4、不同年龄段异常用户套餐购买比例'!$B$1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'✔4、不同年龄段异常用户套餐购买比例'!$A$2:$A$8</f>
            </strRef>
          </cat>
          <val>
            <numRef>
              <f>'✔4、不同年龄段异常用户套餐购买比例'!$B$2:$B$8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'✔4、不同年龄段异常用户套餐购买比例'!$D$1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cat>
            <strRef>
              <f>'✔4、不同年龄段异常用户套餐购买比例'!$A$2:$A$8</f>
            </strRef>
          </cat>
          <val>
            <numRef>
              <f>'✔4、不同年龄段异常用户套餐购买比例'!$D$2:$D$8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8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男，女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'✔8、不同年龄段套餐用户首月解读次数'!$B$6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'✔8、不同年龄段套餐用户首月解读次数'!$C$5:$I$5</f>
            </strRef>
          </cat>
          <val>
            <numRef>
              <f>'✔8、不同年龄段套餐用户首月解读次数'!$C$6:$I$6</f>
            </numRef>
          </val>
          <smooth val="false"/>
        </ser>
        <ser>
          <idx val="1"/>
          <order val="1"/>
          <tx>
            <strRef>
              <f>'✔8、不同年龄段套餐用户首月解读次数'!$B$7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'✔8、不同年龄段套餐用户首月解读次数'!$C$5:$I$5</f>
            </strRef>
          </cat>
          <val>
            <numRef>
              <f>'✔8、不同年龄段套餐用户首月解读次数'!$C$7:$I$7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2"/>
          <order val="2"/>
          <spPr>
            <a:solidFill>
              <a:srgbClr val="915EEA"/>
            </a:solidFill>
            <a:ln w="19050">
              <a:solidFill>
                <a:srgbClr val="915EEA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915EEA"/>
              </a:solidFill>
              <a:ln>
                <a:noFill> </a:noFill>
              </a:ln>
            </spPr>
          </marker>
          <invertIfNegative val="false"/>
          <cat>
            <strRef>
              <f>'✔8、不同年龄段套餐用户首月解读次数'!$C$5:$I$5</f>
            </strRef>
          </cat>
          <val>
            <numRef>
              <f>'✔8、不同年龄段套餐用户首月解读次数'!$C$8:$I$8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9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 用户数 ， 用户占比 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'✔9、套餐用户解读次数'!$C$2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'✔9、套餐用户解读次数'!$B$3:$B$13</f>
            </strRef>
          </cat>
          <val>
            <numRef>
              <f>'✔9、套餐用户解读次数'!$C$3:$C$13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'✔9、套餐用户解读次数'!$D$2</f>
            </strRef>
          </tx>
          <spPr>
            <a:solidFill>
              <a:srgbClr val="EB6B67"/>
            </a:solidFill>
            <a:ln w="19050">
              <a:solidFill>
                <a:srgbClr val="EB6B67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EB6B67"/>
              </a:solidFill>
              <a:ln>
                <a:noFill> </a:noFill>
              </a:ln>
            </spPr>
          </marker>
          <invertIfNegative val="false"/>
          <cat>
            <strRef>
              <f>'✔9、套餐用户解读次数'!$B$3:$B$13</f>
            </strRef>
          </cat>
          <val>
            <numRef>
              <f>'✔9、套餐用户解读次数'!$D$3:$D$13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0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 合计次数 ， 比例 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'✔13、每日分时间段服务数分布'!$B$1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'✔13、每日分时间段服务数分布'!$A$2:$A$25</f>
            </strRef>
          </cat>
          <val>
            <numRef>
              <f>'✔13、每日分时间段服务数分布'!$B$2:$B$25</f>
            </numRef>
          </val>
          <smooth val="false"/>
        </ser>
        <ser>
          <idx val="1"/>
          <order val="1"/>
          <tx>
            <strRef>
              <f>'✔13、每日分时间段服务数分布'!$C$1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'✔13、每日分时间段服务数分布'!$A$2:$A$25</f>
            </strRef>
          </cat>
          <val>
            <numRef>
              <f>'✔13、每日分时间段服务数分布'!$C$2:$C$25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所有用户首月解读，异常用户首月解读，套餐用户首月解读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'✔14、注册首月测量次数（所有用户、异常、套餐）'!$B$4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'✔14、注册首月测量次数（所有用户、异常、套餐）'!$A$5:$A$13</f>
            </strRef>
          </cat>
          <val>
            <numRef>
              <f>'✔14、注册首月测量次数（所有用户、异常、套餐）'!$B$5:$B$13</f>
            </numRef>
          </val>
          <smooth val="false"/>
        </ser>
        <ser>
          <idx val="1"/>
          <order val="1"/>
          <tx>
            <strRef>
              <f>'✔14、注册首月测量次数（所有用户、异常、套餐）'!$C$4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'✔14、注册首月测量次数（所有用户、异常、套餐）'!$A$5:$A$13</f>
            </strRef>
          </cat>
          <val>
            <numRef>
              <f>'✔14、注册首月测量次数（所有用户、异常、套餐）'!$C$5:$C$13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lineChart>
        <grouping val="standard"/>
        <varyColors val="false"/>
        <ser>
          <idx val="2"/>
          <order val="2"/>
          <tx>
            <strRef>
              <f>'✔14、注册首月测量次数（所有用户、异常、套餐）'!$D$4</f>
            </strRef>
          </tx>
          <spPr>
            <a:solidFill>
              <a:srgbClr val="915EEA"/>
            </a:solidFill>
            <a:ln w="19050">
              <a:solidFill>
                <a:srgbClr val="915EEA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915EEA"/>
              </a:solidFill>
              <a:ln>
                <a:noFill> </a:noFill>
              </a:ln>
            </spPr>
          </marker>
          <invertIfNegative val="false"/>
          <cat>
            <strRef>
              <f>'✔14、注册首月测量次数（所有用户、异常、套餐）'!$A$5:$A$13</f>
            </strRef>
          </cat>
          <val>
            <numRef>
              <f>'✔14、注册首月测量次数（所有用户、异常、套餐）'!$D$5:$D$13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2.xml" Type="http://schemas.openxmlformats.org/officeDocument/2006/relationships/chart"></Relationship><Relationship Id="rId3" Target="../charts/chart3.xml" Type="http://schemas.openxmlformats.org/officeDocument/2006/relationships/chart"></Relationship><Relationship Id="rId4" Target="../charts/chart4.xml" Type="http://schemas.openxmlformats.org/officeDocument/2006/relationships/chart"></Relationship></Relationships>
</file>

<file path=xl/drawings/_rels/drawing2.xml.rels><?xml version="1.0" encoding="UTF-8" standalone="yes"?>
<Relationships xmlns="http://schemas.openxmlformats.org/package/2006/relationships"><Relationship Id="rId1" Target="../charts/chart5.xml" Type="http://schemas.openxmlformats.org/officeDocument/2006/relationships/chart"></Relationship></Relationships>
</file>

<file path=xl/drawings/_rels/drawing3.xml.rels><?xml version="1.0" encoding="UTF-8" standalone="yes"?>
<Relationships xmlns="http://schemas.openxmlformats.org/package/2006/relationships"><Relationship Id="rId1" Target="../charts/chart6.xml" Type="http://schemas.openxmlformats.org/officeDocument/2006/relationships/chart"></Relationship></Relationships>
</file>

<file path=xl/drawings/_rels/drawing4.xml.rels><?xml version="1.0" encoding="UTF-8" standalone="yes"?>
<Relationships xmlns="http://schemas.openxmlformats.org/package/2006/relationships"><Relationship Id="rId1" Target="../charts/chart7.xml" Type="http://schemas.openxmlformats.org/officeDocument/2006/relationships/chart"></Relationship></Relationships>
</file>

<file path=xl/drawings/_rels/drawing5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charts/chart8.xml" Type="http://schemas.openxmlformats.org/officeDocument/2006/relationships/chart"></Relationship></Relationships>
</file>

<file path=xl/drawings/_rels/drawing6.xml.rels><?xml version="1.0" encoding="UTF-8" standalone="yes"?>
<Relationships xmlns="http://schemas.openxmlformats.org/package/2006/relationships"><Relationship Id="rId1" Target="../charts/chart9.xml" Type="http://schemas.openxmlformats.org/officeDocument/2006/relationships/chart"></Relationship></Relationships>
</file>

<file path=xl/drawings/_rels/drawing7.xml.rels><?xml version="1.0" encoding="UTF-8" standalone="yes"?>
<Relationships xmlns="http://schemas.openxmlformats.org/package/2006/relationships"><Relationship Id="rId1" Target="../charts/chart10.xml" Type="http://schemas.openxmlformats.org/officeDocument/2006/relationships/chart"></Relationship></Relationships>
</file>

<file path=xl/drawings/_rels/drawing8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charts/chart11.xml" Type="http://schemas.openxmlformats.org/officeDocument/2006/relationships/chart"></Relationship></Relationships>
</file>

<file path=xl/drawings/_rels/drawing9.xml.rels><?xml version="1.0" encoding="UTF-8" standalone="yes"?>
<Relationships xmlns="http://schemas.openxmlformats.org/package/2006/relationships"><Relationship Id="rId1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352425</xdr:colOff>
      <xdr:row>0</xdr:row>
      <xdr:rowOff>133350</xdr:rowOff>
    </xdr:from>
    <xdr:to>
      <xdr:col>11</xdr:col>
      <xdr:colOff>876300</xdr:colOff>
      <xdr:row>12</xdr:row>
      <xdr:rowOff>19050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9</xdr:col>
      <xdr:colOff>104775</xdr:colOff>
      <xdr:row>12</xdr:row>
      <xdr:rowOff>85725</xdr:rowOff>
    </xdr:from>
    <xdr:to>
      <xdr:col>13</xdr:col>
      <xdr:colOff>657225</xdr:colOff>
      <xdr:row>23</xdr:row>
      <xdr:rowOff>76200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7</xdr:col>
      <xdr:colOff>447675</xdr:colOff>
      <xdr:row>26</xdr:row>
      <xdr:rowOff>19050</xdr:rowOff>
    </xdr:from>
    <xdr:to>
      <xdr:col>11</xdr:col>
      <xdr:colOff>1047750</xdr:colOff>
      <xdr:row>38</xdr:row>
      <xdr:rowOff>161925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12</xdr:col>
      <xdr:colOff>400050</xdr:colOff>
      <xdr:row>26</xdr:row>
      <xdr:rowOff>38100</xdr:rowOff>
    </xdr:from>
    <xdr:to>
      <xdr:col>16</xdr:col>
      <xdr:colOff>638175</xdr:colOff>
      <xdr:row>38</xdr:row>
      <xdr:rowOff>133350</xdr:rowOff>
    </xdr:to>
    <xdr:graphicFrame macro="">
      <xdr:nvGraphicFramePr>
        <xdr:cNvPr id="5" name="Chart 5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419100</xdr:colOff>
      <xdr:row>3</xdr:row>
      <xdr:rowOff>0</xdr:rowOff>
    </xdr:from>
    <xdr:to>
      <xdr:col>10</xdr:col>
      <xdr:colOff>76200</xdr:colOff>
      <xdr:row>20</xdr:row>
      <xdr:rowOff>95250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85725</xdr:colOff>
      <xdr:row>1</xdr:row>
      <xdr:rowOff>114300</xdr:rowOff>
    </xdr:from>
    <xdr:to>
      <xdr:col>10</xdr:col>
      <xdr:colOff>800100</xdr:colOff>
      <xdr:row>18</xdr:row>
      <xdr:rowOff>209550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76200</xdr:colOff>
      <xdr:row>1</xdr:row>
      <xdr:rowOff>19050</xdr:rowOff>
    </xdr:from>
    <xdr:to>
      <xdr:col>10</xdr:col>
      <xdr:colOff>790575</xdr:colOff>
      <xdr:row>18</xdr:row>
      <xdr:rowOff>114300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428625</xdr:colOff>
      <xdr:row>8</xdr:row>
      <xdr:rowOff>95250</xdr:rowOff>
    </xdr:from>
    <xdr:to>
      <xdr:col>18</xdr:col>
      <xdr:colOff>104775</xdr:colOff>
      <xdr:row>22</xdr:row>
      <xdr:rowOff>76200</xdr:rowOff>
    </xdr:to>
    <xdr:pic>
      <xdr:nvPicPr>
        <xdr:cNvPr id="2" name="Picture 2" descr="TpcQH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95250</xdr:colOff>
      <xdr:row>14</xdr:row>
      <xdr:rowOff>66675</xdr:rowOff>
    </xdr:from>
    <xdr:to>
      <xdr:col>8</xdr:col>
      <xdr:colOff>657225</xdr:colOff>
      <xdr:row>33</xdr:row>
      <xdr:rowOff>257175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47625</xdr:colOff>
      <xdr:row>15</xdr:row>
      <xdr:rowOff>38100</xdr:rowOff>
    </xdr:from>
    <xdr:to>
      <xdr:col>4</xdr:col>
      <xdr:colOff>76200</xdr:colOff>
      <xdr:row>30</xdr:row>
      <xdr:rowOff>228600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190500</xdr:colOff>
      <xdr:row>1</xdr:row>
      <xdr:rowOff>57150</xdr:rowOff>
    </xdr:from>
    <xdr:to>
      <xdr:col>9</xdr:col>
      <xdr:colOff>904875</xdr:colOff>
      <xdr:row>14</xdr:row>
      <xdr:rowOff>228600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209550</xdr:colOff>
      <xdr:row>7</xdr:row>
      <xdr:rowOff>238125</xdr:rowOff>
    </xdr:from>
    <xdr:to>
      <xdr:col>17</xdr:col>
      <xdr:colOff>514350</xdr:colOff>
      <xdr:row>22</xdr:row>
      <xdr:rowOff>76200</xdr:rowOff>
    </xdr:to>
    <xdr:pic>
      <xdr:nvPicPr>
        <xdr:cNvPr id="2" name="Picture 2" descr="XbCna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57150</xdr:colOff>
      <xdr:row>14</xdr:row>
      <xdr:rowOff>9525</xdr:rowOff>
    </xdr:from>
    <xdr:to>
      <xdr:col>4</xdr:col>
      <xdr:colOff>628650</xdr:colOff>
      <xdr:row>31</xdr:row>
      <xdr:rowOff>104775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10</xdr:col>
      <xdr:colOff>742950</xdr:colOff>
      <xdr:row>8</xdr:row>
      <xdr:rowOff>66675</xdr:rowOff>
    </xdr:from>
    <xdr:to>
      <xdr:col>19</xdr:col>
      <xdr:colOff>923925</xdr:colOff>
      <xdr:row>24</xdr:row>
      <xdr:rowOff>190500</xdr:rowOff>
    </xdr:to>
    <xdr:pic>
      <xdr:nvPicPr>
        <xdr:cNvPr id="2" name="Picture 2" descr="vTDai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9"/>
    <col collapsed="false" customWidth="true" hidden="false" max="3" min="3" style="0" width="16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</cols>
  <sheetData>
    <row r="1">
      <c r="A1" s="14" t="str">
        <v>年龄范围</v>
      </c>
      <c r="B1" s="12" t="str">
        <v>人数</v>
      </c>
      <c r="C1" s="15" t="str">
        <v>比例 100%</v>
      </c>
      <c r="D1" s="2"/>
      <c r="E1" s="14" t="str">
        <v>性别</v>
      </c>
      <c r="F1" s="12" t="str">
        <v>人数</v>
      </c>
      <c r="G1" s="13" t="str">
        <v>比例</v>
      </c>
    </row>
    <row r="2">
      <c r="A2" s="3" t="str">
        <v>17-24</v>
      </c>
      <c r="B2" s="6">
        <v>113130</v>
      </c>
      <c r="C2" s="1">
        <v>14.32758018</v>
      </c>
      <c r="D2" s="2"/>
      <c r="E2" s="3" t="str">
        <v>男</v>
      </c>
      <c r="F2" s="8">
        <v>1259356</v>
      </c>
      <c r="G2" s="5">
        <f>F2/F5</f>
      </c>
    </row>
    <row r="3">
      <c r="A3" s="3" t="str">
        <v>25-34</v>
      </c>
      <c r="B3" s="6">
        <v>233755</v>
      </c>
      <c r="C3" s="1">
        <v>29.60437996</v>
      </c>
      <c r="D3" s="2"/>
      <c r="E3" s="3" t="str">
        <v>女</v>
      </c>
      <c r="F3" s="4">
        <v>109022</v>
      </c>
      <c r="G3" s="5">
        <f>F3/F5</f>
      </c>
    </row>
    <row r="4">
      <c r="A4" s="3" t="str">
        <v>35-44</v>
      </c>
      <c r="B4" s="6">
        <v>217710</v>
      </c>
      <c r="C4" s="1">
        <v>27.57232813</v>
      </c>
      <c r="D4" s="2"/>
      <c r="E4" s="24" t="str" xml:space="preserve">
        <v> 未知 </v>
      </c>
      <c r="F4" s="2">
        <v>191272</v>
      </c>
      <c r="G4" s="5">
        <f>F4/F5</f>
      </c>
    </row>
    <row r="5">
      <c r="A5" s="3" t="str">
        <v>45-59</v>
      </c>
      <c r="B5" s="6">
        <v>182389</v>
      </c>
      <c r="C5" s="1">
        <v>23.09902786</v>
      </c>
      <c r="D5" s="2"/>
      <c r="E5" s="21" t="str">
        <v>共</v>
      </c>
      <c r="F5" s="26">
        <f>SUM(F2,F3,F4)</f>
      </c>
      <c r="G5" s="23"/>
    </row>
    <row r="6">
      <c r="A6" s="3" t="str">
        <v>60-74</v>
      </c>
      <c r="B6" s="6">
        <v>38309</v>
      </c>
      <c r="C6" s="1">
        <v>4.85172164</v>
      </c>
      <c r="D6" s="2"/>
      <c r="E6" s="2"/>
      <c r="F6" s="2"/>
    </row>
    <row r="7">
      <c r="A7" s="3" t="str">
        <v>&gt;=75</v>
      </c>
      <c r="B7" s="6">
        <v>4303</v>
      </c>
      <c r="C7" s="1">
        <v>0.544962234</v>
      </c>
      <c r="D7" s="2"/>
      <c r="E7" s="2"/>
      <c r="F7" s="2"/>
    </row>
    <row r="8">
      <c r="A8" s="9" t="str">
        <v>共</v>
      </c>
      <c r="B8" s="10">
        <v>789596</v>
      </c>
      <c r="C8" s="11"/>
      <c r="D8" s="2"/>
      <c r="E8" s="2"/>
      <c r="F8" s="2"/>
    </row>
    <row r="9">
      <c r="A9" s="2"/>
      <c r="B9" s="2"/>
      <c r="C9" s="17"/>
      <c r="D9" s="2"/>
      <c r="E9" s="2"/>
      <c r="F9" s="20">
        <v>1559650</v>
      </c>
      <c r="G9">
        <f>F9-F5</f>
      </c>
    </row>
    <row r="10">
      <c r="A10" s="2"/>
      <c r="B10" s="2"/>
      <c r="C10" s="17"/>
      <c r="D10" s="2"/>
      <c r="E10" s="2"/>
      <c r="F10" s="2"/>
    </row>
    <row r="11">
      <c r="A11" s="18" t="str">
        <v>年龄小17
 和年龄没有设置</v>
      </c>
      <c r="B11" s="19">
        <v>770054</v>
      </c>
      <c r="C11" s="17"/>
      <c r="D11" s="2"/>
      <c r="E11" s="2"/>
      <c r="F11" s="2"/>
    </row>
    <row r="12">
      <c r="A12" s="2"/>
      <c r="B12" s="2"/>
      <c r="C12" s="17"/>
      <c r="D12" s="2"/>
      <c r="E12" s="2"/>
      <c r="F12" s="2"/>
    </row>
    <row r="13">
      <c r="A13" s="2"/>
      <c r="B13" s="2"/>
      <c r="C13" s="17"/>
      <c r="D13" s="2"/>
      <c r="E13" s="2"/>
      <c r="F13" s="2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A26" s="25" t="str">
        <v>有提交</v>
      </c>
      <c r="C26" s="7"/>
    </row>
    <row r="27">
      <c r="A27" s="14" t="str">
        <v>年龄范围</v>
      </c>
      <c r="B27" s="12" t="str">
        <v>人数</v>
      </c>
      <c r="C27" s="15" t="str">
        <v>比例 100%</v>
      </c>
      <c r="D27" s="2"/>
      <c r="E27" s="14" t="str">
        <v>性别</v>
      </c>
      <c r="F27" s="12" t="str">
        <v>人数</v>
      </c>
      <c r="G27" s="13" t="str">
        <v>比例</v>
      </c>
    </row>
    <row r="28">
      <c r="A28" s="3" t="str">
        <v>17-24</v>
      </c>
      <c r="B28" s="16">
        <v>20595</v>
      </c>
      <c r="C28" s="1">
        <f>B28/B34</f>
      </c>
      <c r="D28" s="2"/>
      <c r="E28" s="3" t="str">
        <v>男</v>
      </c>
      <c r="F28" s="4">
        <v>195720</v>
      </c>
      <c r="G28" s="5">
        <f>F28/F31</f>
      </c>
    </row>
    <row r="29">
      <c r="A29" s="3" t="str">
        <v>25-34</v>
      </c>
      <c r="B29" s="16">
        <v>76963</v>
      </c>
      <c r="C29" s="1">
        <f>B29/B34</f>
      </c>
      <c r="D29" s="2"/>
      <c r="E29" s="3" t="str">
        <v>女</v>
      </c>
      <c r="F29" s="4">
        <v>18720</v>
      </c>
      <c r="G29" s="5">
        <f>F29/F31</f>
      </c>
    </row>
    <row r="30">
      <c r="A30" s="3" t="str">
        <v>35-44</v>
      </c>
      <c r="B30" s="16">
        <v>77620</v>
      </c>
      <c r="C30" s="1">
        <f>B30/B34</f>
      </c>
      <c r="D30" s="2"/>
      <c r="E30" s="24" t="str" xml:space="preserve">
        <v> 未知 </v>
      </c>
      <c r="F30" s="20">
        <v>46581</v>
      </c>
      <c r="G30" s="5">
        <f>F30/F31</f>
      </c>
    </row>
    <row r="31">
      <c r="A31" s="3" t="str">
        <v>45-59</v>
      </c>
      <c r="B31" s="16">
        <v>56271</v>
      </c>
      <c r="C31" s="1">
        <f>B31/B34</f>
      </c>
      <c r="D31" s="2"/>
      <c r="E31" s="21" t="str">
        <v>共</v>
      </c>
      <c r="F31" s="22">
        <f>SUM(F28,F29,F30)</f>
      </c>
      <c r="G31" s="23"/>
    </row>
    <row r="32">
      <c r="A32" s="3" t="str">
        <v>60-74</v>
      </c>
      <c r="B32" s="16">
        <v>11853</v>
      </c>
      <c r="C32" s="1">
        <f>B32/B34</f>
      </c>
      <c r="D32" s="2"/>
      <c r="E32" s="2"/>
      <c r="F32" s="2"/>
    </row>
    <row r="33">
      <c r="A33" s="3" t="str">
        <v>&gt;=75</v>
      </c>
      <c r="B33" s="16">
        <v>1508</v>
      </c>
      <c r="C33" s="1">
        <f>B33/B39</f>
      </c>
      <c r="D33" s="2"/>
      <c r="E33" s="2"/>
      <c r="F33" s="2"/>
    </row>
    <row r="34">
      <c r="A34" s="9" t="str">
        <v>共</v>
      </c>
      <c r="B34" s="10">
        <f>SUM(B28,B29,B30,B31,B32,B33,)</f>
      </c>
      <c r="C34" s="11"/>
      <c r="D34" s="2"/>
      <c r="E34" s="2"/>
      <c r="F34" s="2"/>
    </row>
    <row r="35">
      <c r="C35" s="7"/>
    </row>
    <row r="36">
      <c r="C36" s="7"/>
    </row>
    <row r="37">
      <c r="C37" s="7"/>
    </row>
    <row r="38">
      <c r="C38" s="7"/>
    </row>
    <row r="39">
      <c r="A39" s="18" t="str">
        <v>年龄小17
 和年龄没有设置</v>
      </c>
      <c r="B39" s="25">
        <v>16211</v>
      </c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</sheetData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29"/>
  </cols>
  <sheetData>
    <row r="1">
      <c r="A1" s="28" t="str">
        <v>年龄段</v>
      </c>
      <c r="B1" s="29" t="str">
        <v>总人数</v>
      </c>
      <c r="C1" s="29" t="str">
        <v>异常用户数</v>
      </c>
      <c r="D1" s="30" t="str">
        <v>异常用户比例 100%</v>
      </c>
    </row>
    <row r="2">
      <c r="A2" s="33" t="str">
        <v>0-16</v>
      </c>
      <c r="B2" s="34">
        <v>16211</v>
      </c>
      <c r="C2" s="19">
        <v>4863</v>
      </c>
      <c r="D2" s="27">
        <f>(C2/B2)</f>
      </c>
    </row>
    <row r="3">
      <c r="A3" s="3" t="str">
        <v>17-24</v>
      </c>
      <c r="B3" s="16">
        <v>20595</v>
      </c>
      <c r="C3" s="16">
        <v>5847</v>
      </c>
      <c r="D3" s="27">
        <f>(C3/B3)</f>
      </c>
    </row>
    <row r="4">
      <c r="A4" s="3" t="str">
        <v>25-34</v>
      </c>
      <c r="B4" s="16">
        <v>76963</v>
      </c>
      <c r="C4" s="16">
        <v>21822</v>
      </c>
      <c r="D4" s="27">
        <f>(C4/B4)</f>
      </c>
    </row>
    <row r="5">
      <c r="A5" s="3" t="str">
        <v>35-44</v>
      </c>
      <c r="B5" s="16">
        <v>77620</v>
      </c>
      <c r="C5" s="16">
        <v>24424</v>
      </c>
      <c r="D5" s="27">
        <f>(C5/B5)</f>
      </c>
    </row>
    <row r="6">
      <c r="A6" s="3" t="str">
        <v>45-59</v>
      </c>
      <c r="B6" s="16">
        <v>56271</v>
      </c>
      <c r="C6" s="16">
        <v>20241</v>
      </c>
      <c r="D6" s="27">
        <f>(C6/B6)</f>
      </c>
    </row>
    <row r="7">
      <c r="A7" s="3" t="str">
        <v>60-74</v>
      </c>
      <c r="B7" s="16">
        <v>11853</v>
      </c>
      <c r="C7" s="16">
        <v>5376</v>
      </c>
      <c r="D7" s="27">
        <f>(C7/B7)</f>
      </c>
    </row>
    <row r="8">
      <c r="A8" s="3" t="str">
        <v>&gt;=75</v>
      </c>
      <c r="B8" s="16">
        <v>1508</v>
      </c>
      <c r="C8" s="16">
        <v>882</v>
      </c>
      <c r="D8" s="27">
        <f>(C8/B8)</f>
      </c>
    </row>
    <row r="9">
      <c r="A9" s="3"/>
      <c r="B9" s="6"/>
      <c r="C9" s="6"/>
      <c r="D9" s="6"/>
    </row>
    <row r="10">
      <c r="C10" s="19">
        <v>4863</v>
      </c>
    </row>
    <row r="11">
      <c r="C11" s="16">
        <v>5847</v>
      </c>
    </row>
    <row r="12">
      <c r="C12" s="16">
        <v>21822</v>
      </c>
    </row>
    <row r="13">
      <c r="C13" s="16">
        <v>24424</v>
      </c>
    </row>
    <row r="14">
      <c r="A14" s="31" t="str">
        <v>0-16岁</v>
      </c>
      <c r="B14" s="32" t="str">
        <v>保含未设置年龄人数</v>
      </c>
      <c r="C14" s="16">
        <v>20241</v>
      </c>
    </row>
    <row r="15">
      <c r="C15" s="16">
        <v>5376</v>
      </c>
    </row>
    <row r="16">
      <c r="C16" s="16">
        <v>882</v>
      </c>
    </row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21"/>
    <col collapsed="false" customWidth="true" hidden="false" max="4" min="4" style="0" width="18"/>
  </cols>
  <sheetData>
    <row customHeight="true" ht="29" r="1">
      <c r="A1" s="35" t="s">
        <v>2</v>
      </c>
      <c r="B1" s="35" t="s">
        <v>3</v>
      </c>
      <c r="C1" s="35" t="s">
        <v>4</v>
      </c>
      <c r="D1" s="35" t="s">
        <v>5</v>
      </c>
    </row>
    <row r="2">
      <c r="A2" s="35" t="s">
        <v>9</v>
      </c>
      <c r="B2" s="19">
        <v>16211</v>
      </c>
      <c r="C2" s="36">
        <v>3274</v>
      </c>
      <c r="D2" s="37">
        <f>C2/B2</f>
      </c>
    </row>
    <row r="3">
      <c r="A3" s="35" t="s">
        <v>6</v>
      </c>
      <c r="B3" s="16">
        <v>20595</v>
      </c>
      <c r="C3" s="36">
        <v>1308</v>
      </c>
      <c r="D3" s="37">
        <f>C3/B3</f>
      </c>
    </row>
    <row r="4">
      <c r="A4" s="35" t="s">
        <v>10</v>
      </c>
      <c r="B4" s="16">
        <v>76963</v>
      </c>
      <c r="C4" s="36">
        <v>4182</v>
      </c>
      <c r="D4" s="37">
        <f>C4/B4</f>
      </c>
    </row>
    <row r="5">
      <c r="A5" s="35" t="s">
        <v>7</v>
      </c>
      <c r="B5" s="16">
        <v>77620</v>
      </c>
      <c r="C5" s="36">
        <v>5441</v>
      </c>
      <c r="D5" s="37">
        <f>C5/B5</f>
      </c>
    </row>
    <row r="6">
      <c r="A6" s="35" t="s">
        <v>11</v>
      </c>
      <c r="B6" s="16">
        <v>56271</v>
      </c>
      <c r="C6" s="36">
        <v>5163</v>
      </c>
      <c r="D6" s="37">
        <f>C6/B6</f>
      </c>
    </row>
    <row r="7">
      <c r="A7" s="35" t="s">
        <v>1</v>
      </c>
      <c r="B7" s="16">
        <v>11853</v>
      </c>
      <c r="C7" s="36">
        <v>1249</v>
      </c>
      <c r="D7" s="37">
        <f>C7/B7</f>
      </c>
    </row>
    <row r="8">
      <c r="A8" s="35" t="s">
        <v>8</v>
      </c>
      <c r="B8" s="16">
        <v>1508</v>
      </c>
      <c r="C8" s="36">
        <v>170</v>
      </c>
      <c r="D8" s="37">
        <f>C8/B8</f>
      </c>
    </row>
    <row r="9">
      <c r="A9" s="25"/>
    </row>
    <row r="10"/>
    <row r="11"/>
    <row r="12"/>
    <row r="13">
      <c r="A13" s="31" t="str">
        <v>0-16岁</v>
      </c>
      <c r="B13" s="32" t="str">
        <v>保含未设置年龄人数</v>
      </c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8"/>
    <col collapsed="false" customWidth="true" hidden="false" max="3" min="3" style="0" width="40"/>
    <col collapsed="false" customWidth="true" hidden="false" max="4" min="4" style="0" width="32"/>
  </cols>
  <sheetData>
    <row r="1">
      <c r="A1" s="35" t="s">
        <v>2</v>
      </c>
      <c r="B1" s="35" t="s">
        <v>12</v>
      </c>
      <c r="C1" s="38" t="str" xml:space="preserve">
        <v>异常用户 购买套餐用户数 </v>
      </c>
      <c r="D1" s="35" t="s">
        <v>13</v>
      </c>
    </row>
    <row r="2">
      <c r="A2" s="35" t="s">
        <v>17</v>
      </c>
      <c r="B2" s="39">
        <v>4863</v>
      </c>
      <c r="C2" s="36">
        <v>773</v>
      </c>
      <c r="D2" s="37">
        <f>C2/B2</f>
      </c>
    </row>
    <row r="3">
      <c r="A3" s="35" t="s">
        <v>14</v>
      </c>
      <c r="B3" s="39">
        <v>5847</v>
      </c>
      <c r="C3" s="36">
        <v>510</v>
      </c>
      <c r="D3" s="37">
        <f>C3/B3</f>
      </c>
    </row>
    <row r="4">
      <c r="A4" s="35" t="s">
        <v>18</v>
      </c>
      <c r="B4" s="39">
        <v>21822</v>
      </c>
      <c r="C4" s="36">
        <v>2016</v>
      </c>
      <c r="D4" s="37">
        <f>C4/B4</f>
      </c>
    </row>
    <row r="5">
      <c r="A5" s="35" t="s">
        <v>15</v>
      </c>
      <c r="B5" s="39">
        <v>24424</v>
      </c>
      <c r="C5" s="36">
        <v>2752</v>
      </c>
      <c r="D5" s="37">
        <f>C5/B5</f>
      </c>
    </row>
    <row r="6">
      <c r="A6" s="35" t="s">
        <v>19</v>
      </c>
      <c r="B6" s="39">
        <v>20241</v>
      </c>
      <c r="C6" s="36">
        <v>2693</v>
      </c>
      <c r="D6" s="37">
        <f>C6/B6</f>
      </c>
    </row>
    <row r="7">
      <c r="A7" s="35" t="s">
        <v>16</v>
      </c>
      <c r="B7" s="39">
        <v>5373</v>
      </c>
      <c r="C7" s="36">
        <v>811</v>
      </c>
      <c r="D7" s="37">
        <f>C7/B7</f>
      </c>
    </row>
    <row r="8">
      <c r="A8" s="35" t="s">
        <v>20</v>
      </c>
      <c r="B8" s="39">
        <v>882</v>
      </c>
      <c r="C8" s="36">
        <v>130</v>
      </c>
      <c r="D8" s="37">
        <f>C8/B8</f>
      </c>
    </row>
    <row r="9">
      <c r="B9" s="40">
        <v>83452</v>
      </c>
    </row>
  </sheetData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1"/>
    <col collapsed="false" customWidth="true" hidden="false" max="3" min="3" style="0" width="15"/>
    <col collapsed="false" customWidth="true" hidden="false" max="4" min="4" style="0" width="12"/>
    <col collapsed="false" customWidth="true" hidden="false" max="5" min="5" style="0" width="12"/>
  </cols>
  <sheetData>
    <row customHeight="true" ht="25" r="1">
      <c r="A1" s="35" t="s">
        <v>34</v>
      </c>
      <c r="B1" s="35" t="s">
        <v>35</v>
      </c>
      <c r="C1" s="35" t="s">
        <v>31</v>
      </c>
      <c r="D1" s="35" t="s">
        <v>32</v>
      </c>
      <c r="E1" s="35" t="s">
        <v>33</v>
      </c>
    </row>
    <row customHeight="true" ht="25" r="2">
      <c r="A2" s="35" t="s">
        <v>47</v>
      </c>
      <c r="B2" s="35" t="s">
        <v>48</v>
      </c>
      <c r="C2" s="36">
        <v>2</v>
      </c>
      <c r="D2" s="36">
        <v>1</v>
      </c>
      <c r="E2" s="35" t="s">
        <v>46</v>
      </c>
    </row>
    <row customHeight="true" ht="25" r="3">
      <c r="A3" s="35" t="s">
        <v>57</v>
      </c>
      <c r="B3" s="35" t="s">
        <v>58</v>
      </c>
      <c r="C3" s="36">
        <v>3</v>
      </c>
      <c r="D3" s="36">
        <v>2</v>
      </c>
      <c r="E3" s="35" t="s">
        <v>46</v>
      </c>
      <c r="F3" s="25"/>
    </row>
    <row customHeight="true" ht="25" r="4">
      <c r="A4" s="35" t="s">
        <v>68</v>
      </c>
      <c r="B4" s="35" t="s">
        <v>67</v>
      </c>
      <c r="C4" s="36">
        <v>6</v>
      </c>
      <c r="D4" s="36">
        <v>3</v>
      </c>
      <c r="E4" s="35" t="s">
        <v>38</v>
      </c>
    </row>
    <row customHeight="true" ht="25" r="5">
      <c r="A5" s="35" t="s">
        <v>36</v>
      </c>
      <c r="B5" s="35" t="s">
        <v>37</v>
      </c>
      <c r="C5" s="36">
        <v>16</v>
      </c>
      <c r="D5" s="36">
        <v>4</v>
      </c>
      <c r="E5" s="35" t="s">
        <v>38</v>
      </c>
    </row>
    <row customHeight="true" ht="25" r="6">
      <c r="A6" s="35" t="s">
        <v>49</v>
      </c>
      <c r="B6" s="35" t="s">
        <v>50</v>
      </c>
      <c r="C6" s="36">
        <v>4</v>
      </c>
      <c r="D6" s="36">
        <v>5</v>
      </c>
      <c r="E6" s="35" t="s">
        <v>38</v>
      </c>
    </row>
    <row customHeight="true" ht="25" r="7">
      <c r="A7" s="35" t="s">
        <v>59</v>
      </c>
      <c r="B7" s="35" t="s">
        <v>60</v>
      </c>
      <c r="C7" s="36">
        <v>10</v>
      </c>
      <c r="D7" s="36">
        <v>6</v>
      </c>
      <c r="E7" s="35" t="s">
        <v>41</v>
      </c>
    </row>
    <row customHeight="true" ht="25" r="8">
      <c r="A8" s="35" t="s">
        <v>69</v>
      </c>
      <c r="B8" s="35" t="s">
        <v>70</v>
      </c>
      <c r="C8" s="36">
        <v>117</v>
      </c>
      <c r="D8" s="36">
        <v>7</v>
      </c>
      <c r="E8" s="35" t="s">
        <v>23</v>
      </c>
      <c r="F8" s="25"/>
    </row>
    <row customHeight="true" ht="25" r="9">
      <c r="A9" s="35" t="s">
        <v>21</v>
      </c>
      <c r="B9" s="35" t="s">
        <v>22</v>
      </c>
      <c r="C9" s="36">
        <v>18</v>
      </c>
      <c r="D9" s="36">
        <v>8</v>
      </c>
      <c r="E9" s="35" t="s">
        <v>23</v>
      </c>
      <c r="F9" s="25"/>
    </row>
    <row customHeight="true" ht="25" r="10">
      <c r="A10" s="35" t="s">
        <v>39</v>
      </c>
      <c r="B10" s="35" t="s">
        <v>40</v>
      </c>
      <c r="C10" s="36">
        <v>1046</v>
      </c>
      <c r="D10" s="36">
        <v>9</v>
      </c>
      <c r="E10" s="35" t="s">
        <v>23</v>
      </c>
      <c r="F10" s="25"/>
    </row>
    <row customHeight="true" ht="25" r="11">
      <c r="A11" s="35" t="s">
        <v>51</v>
      </c>
      <c r="B11" s="35" t="s">
        <v>52</v>
      </c>
      <c r="C11" s="36">
        <v>261</v>
      </c>
      <c r="D11" s="36">
        <v>10</v>
      </c>
      <c r="E11" s="35" t="s">
        <v>23</v>
      </c>
      <c r="F11" s="25"/>
    </row>
    <row customHeight="true" ht="25" r="12">
      <c r="A12" s="35" t="s">
        <v>61</v>
      </c>
      <c r="B12" s="35" t="s">
        <v>62</v>
      </c>
      <c r="C12" s="36">
        <v>3719</v>
      </c>
      <c r="D12" s="36">
        <v>11</v>
      </c>
      <c r="E12" s="35" t="s">
        <v>24</v>
      </c>
      <c r="F12" s="25"/>
    </row>
    <row customHeight="true" ht="25" r="13">
      <c r="A13" s="35" t="s">
        <v>25</v>
      </c>
      <c r="B13" s="35" t="s">
        <v>26</v>
      </c>
      <c r="C13" s="36">
        <v>49</v>
      </c>
      <c r="D13" s="36">
        <v>12</v>
      </c>
      <c r="E13" s="35" t="s">
        <v>24</v>
      </c>
      <c r="F13" s="25"/>
    </row>
    <row customHeight="true" ht="25" r="14">
      <c r="A14" s="35" t="s">
        <v>42</v>
      </c>
      <c r="B14" s="35" t="s">
        <v>43</v>
      </c>
      <c r="C14" s="36">
        <v>43</v>
      </c>
      <c r="D14" s="36">
        <v>13</v>
      </c>
      <c r="E14" s="35" t="s">
        <v>41</v>
      </c>
      <c r="F14" s="25"/>
      <c r="G14" s="25"/>
    </row>
    <row customHeight="true" ht="25" r="15">
      <c r="A15" s="35" t="s">
        <v>53</v>
      </c>
      <c r="B15" s="35" t="s">
        <v>54</v>
      </c>
      <c r="C15" s="36">
        <v>117</v>
      </c>
      <c r="D15" s="36">
        <v>14</v>
      </c>
      <c r="E15" s="35" t="s">
        <v>23</v>
      </c>
    </row>
    <row customHeight="true" ht="25" r="16">
      <c r="A16" s="35" t="s">
        <v>63</v>
      </c>
      <c r="B16" s="35" t="s">
        <v>64</v>
      </c>
      <c r="C16" s="36">
        <v>30</v>
      </c>
      <c r="D16" s="36">
        <v>15</v>
      </c>
      <c r="E16" s="35" t="s">
        <v>23</v>
      </c>
    </row>
    <row customHeight="true" ht="25" r="17">
      <c r="A17" s="35" t="s">
        <v>27</v>
      </c>
      <c r="B17" s="35" t="s">
        <v>28</v>
      </c>
      <c r="C17" s="36">
        <v>174</v>
      </c>
      <c r="D17" s="36">
        <v>16</v>
      </c>
      <c r="E17" s="35" t="s">
        <v>23</v>
      </c>
    </row>
    <row customHeight="true" ht="25" r="18">
      <c r="A18" s="35" t="s">
        <v>45</v>
      </c>
      <c r="B18" s="35" t="s">
        <v>44</v>
      </c>
      <c r="C18" s="36">
        <v>662</v>
      </c>
      <c r="D18" s="36">
        <v>17</v>
      </c>
      <c r="E18" s="35" t="s">
        <v>23</v>
      </c>
    </row>
    <row customHeight="true" ht="25" r="19">
      <c r="A19" s="35" t="s">
        <v>55</v>
      </c>
      <c r="B19" s="35" t="s">
        <v>56</v>
      </c>
      <c r="C19" s="36">
        <v>12492</v>
      </c>
      <c r="D19" s="36">
        <v>18</v>
      </c>
      <c r="E19" s="35" t="s">
        <v>23</v>
      </c>
    </row>
    <row customHeight="true" ht="25" r="20">
      <c r="A20" s="35" t="s">
        <v>65</v>
      </c>
      <c r="B20" s="35" t="s">
        <v>66</v>
      </c>
      <c r="C20" s="36">
        <v>14919</v>
      </c>
      <c r="D20" s="36">
        <v>19</v>
      </c>
      <c r="E20" s="35" t="s">
        <v>23</v>
      </c>
    </row>
    <row customHeight="true" ht="25" r="21">
      <c r="A21" s="35" t="s">
        <v>29</v>
      </c>
      <c r="B21" s="35" t="s">
        <v>30</v>
      </c>
      <c r="C21" s="36">
        <v>26856</v>
      </c>
      <c r="D21" s="36">
        <v>20</v>
      </c>
      <c r="E21" s="35" t="s">
        <v>23</v>
      </c>
    </row>
    <row customHeight="true" ht="25" r="22"/>
    <row customHeight="true" ht="25" r="23"/>
    <row customHeight="true" ht="25" r="24"/>
    <row customHeight="true" ht="25" r="25"/>
    <row customHeight="true" ht="25" r="26"/>
    <row customHeight="true" ht="25" r="27"/>
    <row customHeight="true" ht="25" r="28"/>
    <row customHeight="true" ht="25" r="29"/>
    <row customHeight="true" ht="25" r="30"/>
    <row customHeight="true" ht="25" r="31"/>
    <row customHeight="true" ht="25" r="32"/>
    <row customHeight="true" ht="25" r="33"/>
    <row customHeight="true" ht="25" r="34"/>
    <row customHeight="true" ht="25" r="35"/>
    <row customHeight="true" ht="25" r="36"/>
    <row customHeight="true" ht="25" r="37"/>
    <row customHeight="true" ht="25" r="38"/>
    <row customHeight="true" ht="25" r="39"/>
    <row customHeight="true" ht="25" r="40"/>
    <row customHeight="true" ht="25" r="41"/>
    <row customHeight="true" ht="25" r="42"/>
    <row customHeight="true" ht="25" r="43"/>
    <row customHeight="true" ht="25" r="44"/>
    <row customHeight="true" ht="25" r="45"/>
    <row customHeight="true" ht="25" r="46"/>
    <row customHeight="true" ht="25" r="47"/>
    <row customHeight="true" ht="25" r="48"/>
    <row customHeight="true" ht="25" r="49"/>
    <row customHeight="true" ht="25" r="50"/>
    <row customHeight="true" ht="25" r="51"/>
    <row customHeight="true" ht="25" r="52"/>
    <row customHeight="true" ht="25" r="53"/>
    <row customHeight="true" ht="25" r="54"/>
    <row customHeight="true" ht="25" r="55"/>
    <row customHeight="true" ht="25" r="56"/>
    <row customHeight="true" ht="25" r="57"/>
    <row customHeight="true" ht="25" r="58"/>
    <row customHeight="true" ht="25" r="59"/>
    <row customHeight="true" ht="25" r="60"/>
    <row customHeight="true" ht="25" r="61"/>
    <row customHeight="true" ht="25" r="62"/>
    <row customHeight="true" ht="25" r="63"/>
    <row customHeight="true" ht="25" r="64"/>
    <row customHeight="true" ht="25" r="65"/>
    <row customHeight="true" ht="25" r="66"/>
    <row customHeight="true" ht="25" r="67"/>
    <row customHeight="true" ht="25" r="68"/>
    <row customHeight="true" ht="25" r="69"/>
    <row customHeight="true" ht="25" r="70"/>
    <row customHeight="true" ht="25" r="71"/>
    <row customHeight="true" ht="25" r="72"/>
    <row customHeight="true" ht="25" r="73"/>
    <row customHeight="true" ht="25" r="74"/>
    <row customHeight="true" ht="25" r="75"/>
    <row customHeight="true" ht="25" r="76"/>
    <row customHeight="true" ht="25" r="77"/>
    <row customHeight="true" ht="25" r="78"/>
    <row customHeight="true" ht="25" r="79"/>
    <row customHeight="true" ht="25" r="80"/>
    <row customHeight="true" ht="25" r="81"/>
    <row customHeight="true" ht="25" r="82"/>
    <row customHeight="true" ht="25" r="83"/>
    <row customHeight="true" ht="25" r="84"/>
    <row customHeight="true" ht="25" r="85"/>
    <row customHeight="true" ht="25" r="86"/>
    <row customHeight="true" ht="25" r="87"/>
    <row customHeight="true" ht="25" r="88"/>
    <row customHeight="true" ht="25" r="89"/>
    <row customHeight="true" ht="25" r="90"/>
    <row customHeight="true" ht="25" r="91"/>
    <row customHeight="true" ht="25" r="92"/>
    <row customHeight="true" ht="25" r="93"/>
    <row customHeight="true" ht="25" r="94"/>
    <row customHeight="true" ht="25" r="95"/>
    <row customHeight="true" ht="25" r="96"/>
    <row customHeight="true" ht="25" r="97"/>
    <row customHeight="true" ht="25" r="98"/>
    <row customHeight="true" ht="25" r="99"/>
    <row customHeight="true" ht="25" r="100"/>
    <row customHeight="true" ht="25" r="101"/>
    <row customHeight="true" ht="25" r="102"/>
    <row customHeight="true" ht="25" r="103"/>
    <row customHeight="true" ht="25" r="104"/>
    <row customHeight="true" ht="25" r="105"/>
    <row customHeight="true" ht="25" r="106"/>
    <row customHeight="true" ht="25" r="107"/>
    <row customHeight="true" ht="25" r="108"/>
    <row customHeight="true" ht="25" r="109"/>
    <row customHeight="true" ht="25" r="110"/>
    <row customHeight="true" ht="25" r="111"/>
    <row customHeight="true" ht="25" r="112"/>
    <row customHeight="true" ht="25" r="113"/>
    <row customHeight="true" ht="25" r="114"/>
    <row customHeight="true" ht="25" r="115"/>
    <row customHeight="true" ht="25" r="116"/>
    <row customHeight="true" ht="25" r="117"/>
    <row customHeight="true" ht="25" r="118"/>
    <row customHeight="true" ht="25" r="119"/>
    <row customHeight="true" ht="25" r="120"/>
    <row customHeight="true" ht="25" r="121"/>
    <row customHeight="true" ht="25" r="122"/>
    <row customHeight="true" ht="25" r="123"/>
    <row customHeight="true" ht="25" r="124"/>
    <row customHeight="true" ht="25" r="125"/>
    <row customHeight="true" ht="25" r="126"/>
    <row customHeight="true" ht="25" r="127"/>
    <row customHeight="true" ht="25" r="128"/>
    <row customHeight="true" ht="25" r="129"/>
    <row customHeight="true" ht="25" r="130"/>
    <row customHeight="true" ht="25" r="131"/>
    <row customHeight="true" ht="25" r="132"/>
    <row customHeight="true" ht="25" r="133"/>
    <row customHeight="true" ht="25" r="134"/>
    <row customHeight="true" ht="25" r="135"/>
    <row customHeight="true" ht="25" r="136"/>
    <row customHeight="true" ht="25" r="137"/>
    <row customHeight="true" ht="25" r="138"/>
    <row customHeight="true" ht="25" r="139"/>
    <row customHeight="true" ht="25" r="140"/>
    <row customHeight="true" ht="25" r="141"/>
    <row customHeight="true" ht="25" r="142"/>
    <row customHeight="true" ht="25" r="143"/>
    <row customHeight="true" ht="25" r="144"/>
    <row customHeight="true" ht="25" r="145"/>
    <row customHeight="true" ht="25" r="146"/>
    <row customHeight="true" ht="25" r="147"/>
    <row customHeight="true" ht="25" r="148"/>
    <row customHeight="true" ht="25" r="149"/>
    <row customHeight="true" ht="25" r="150"/>
    <row customHeight="true" ht="25" r="151"/>
    <row customHeight="true" ht="25" r="152"/>
    <row customHeight="true" ht="25" r="153"/>
    <row customHeight="true" ht="25" r="154"/>
    <row customHeight="true" ht="25" r="155"/>
    <row customHeight="true" ht="25" r="156"/>
    <row customHeight="true" ht="25" r="157"/>
    <row customHeight="true" ht="25" r="158"/>
    <row customHeight="true" ht="25" r="159"/>
    <row customHeight="true" ht="25" r="160"/>
    <row customHeight="true" ht="25" r="161"/>
    <row customHeight="true" ht="25" r="162"/>
    <row customHeight="true" ht="25" r="163"/>
    <row customHeight="true" ht="25" r="164"/>
    <row customHeight="true" ht="25" r="165"/>
    <row customHeight="true" ht="25" r="166"/>
    <row customHeight="true" ht="25" r="167"/>
    <row customHeight="true" ht="25" r="168"/>
    <row customHeight="true" ht="25" r="169"/>
    <row customHeight="true" ht="25" r="170"/>
    <row customHeight="true" ht="25" r="171"/>
    <row customHeight="true" ht="25" r="172"/>
    <row customHeight="true" ht="25" r="173"/>
    <row customHeight="true" ht="25" r="174"/>
    <row customHeight="true" ht="25" r="175"/>
    <row customHeight="true" ht="25" r="176"/>
    <row customHeight="true" ht="25" r="177"/>
    <row customHeight="true" ht="25" r="178"/>
    <row customHeight="true" ht="25" r="179"/>
    <row customHeight="true" ht="25" r="180"/>
    <row customHeight="true" ht="25" r="181"/>
    <row customHeight="true" ht="25" r="182"/>
    <row customHeight="true" ht="25" r="183"/>
    <row customHeight="true" ht="25" r="184"/>
    <row customHeight="true" ht="25" r="185"/>
    <row customHeight="true" ht="25" r="186"/>
    <row customHeight="true" ht="25" r="187"/>
    <row customHeight="true" ht="25" r="188"/>
    <row customHeight="true" ht="25" r="189"/>
    <row customHeight="true" ht="25" r="190"/>
    <row customHeight="true" ht="25" r="191"/>
    <row customHeight="true" ht="25" r="192"/>
    <row customHeight="true" ht="25" r="193"/>
    <row customHeight="true" ht="25" r="194"/>
    <row customHeight="true" ht="25" r="195"/>
    <row customHeight="true" ht="25" r="196"/>
    <row customHeight="true" ht="25" r="197"/>
    <row customHeight="true" ht="25" r="198"/>
    <row customHeight="true" ht="25" r="199"/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7"/>
    <col collapsed="false" customWidth="true" hidden="false" max="3" min="3" style="0" width="15"/>
    <col collapsed="false" customWidth="true" hidden="false" max="4" min="4" style="0" width="17"/>
    <col collapsed="false" customWidth="true" hidden="false" max="6" min="6" style="0" width="7"/>
    <col collapsed="false" customWidth="true" hidden="false" max="7" min="7" style="0" width="31"/>
    <col collapsed="false" customWidth="true" hidden="false" max="8" min="8" style="0" width="13"/>
    <col collapsed="false" customWidth="true" hidden="false" max="9" min="9" style="0" width="26"/>
  </cols>
  <sheetData>
    <row customHeight="true" ht="23" r="1">
      <c r="A1" s="43" t="str">
        <v>异常用户解读类型占比（139,531）</v>
      </c>
      <c r="B1" s="44"/>
      <c r="C1" s="44"/>
      <c r="D1" s="44"/>
      <c r="F1" s="43" t="str">
        <v>异常解读结果占比（559,266）</v>
      </c>
      <c r="G1" s="44"/>
      <c r="H1" s="44"/>
      <c r="I1" s="44"/>
    </row>
    <row customHeight="true" ht="23" r="2">
      <c r="A2" s="41" t="s">
        <v>75</v>
      </c>
      <c r="B2" s="41" t="s">
        <v>71</v>
      </c>
      <c r="C2" s="41" t="s">
        <v>76</v>
      </c>
      <c r="D2" s="41" t="s">
        <v>72</v>
      </c>
      <c r="F2" s="41" t="s">
        <v>73</v>
      </c>
      <c r="G2" s="41" t="s">
        <v>77</v>
      </c>
      <c r="H2" s="41" t="s">
        <v>74</v>
      </c>
      <c r="I2" s="41" t="s">
        <v>78</v>
      </c>
    </row>
    <row customHeight="true" ht="23" r="3">
      <c r="A3" s="35" t="s">
        <v>47</v>
      </c>
      <c r="B3" s="35" t="s">
        <v>100</v>
      </c>
      <c r="C3" s="36">
        <v>14919</v>
      </c>
      <c r="D3" s="42">
        <v>0.1069</v>
      </c>
      <c r="F3" s="35" t="s">
        <v>47</v>
      </c>
      <c r="G3" s="35" t="s">
        <v>30</v>
      </c>
      <c r="H3" s="36">
        <v>122025</v>
      </c>
      <c r="I3" s="42">
        <v>0.2182</v>
      </c>
    </row>
    <row customHeight="true" ht="23" r="4">
      <c r="A4" s="35" t="s">
        <v>57</v>
      </c>
      <c r="B4" s="35" t="s">
        <v>94</v>
      </c>
      <c r="C4" s="36">
        <v>26856</v>
      </c>
      <c r="D4" s="42">
        <v>0.1925</v>
      </c>
      <c r="F4" s="35" t="s">
        <v>57</v>
      </c>
      <c r="G4" s="35" t="s">
        <v>93</v>
      </c>
      <c r="H4" s="36">
        <v>40036</v>
      </c>
      <c r="I4" s="42">
        <v>0.0716</v>
      </c>
    </row>
    <row customHeight="true" ht="23" r="5">
      <c r="A5" s="35" t="s">
        <v>68</v>
      </c>
      <c r="B5" s="35" t="s">
        <v>79</v>
      </c>
      <c r="C5" s="36">
        <v>10719</v>
      </c>
      <c r="D5" s="42">
        <v>0.0768</v>
      </c>
      <c r="F5" s="35" t="s">
        <v>68</v>
      </c>
      <c r="G5" s="35" t="s">
        <v>80</v>
      </c>
      <c r="H5" s="36">
        <v>51375</v>
      </c>
      <c r="I5" s="42">
        <v>0.0919</v>
      </c>
    </row>
    <row customHeight="true" ht="23" r="6">
      <c r="A6" s="35" t="s">
        <v>36</v>
      </c>
      <c r="B6" s="35" t="s">
        <v>80</v>
      </c>
      <c r="C6" s="36">
        <v>13202</v>
      </c>
      <c r="D6" s="42">
        <v>0.0946</v>
      </c>
      <c r="F6" s="35" t="s">
        <v>36</v>
      </c>
      <c r="G6" s="35" t="s">
        <v>79</v>
      </c>
      <c r="H6" s="36">
        <v>30139</v>
      </c>
      <c r="I6" s="42">
        <v>0.0539</v>
      </c>
    </row>
    <row customHeight="true" ht="23" r="7">
      <c r="A7" s="35" t="s">
        <v>49</v>
      </c>
      <c r="B7" s="35" t="s">
        <v>101</v>
      </c>
      <c r="C7" s="36">
        <v>12492</v>
      </c>
      <c r="D7" s="42">
        <v>0.0895</v>
      </c>
      <c r="F7" s="35" t="s">
        <v>49</v>
      </c>
      <c r="G7" s="35" t="s">
        <v>95</v>
      </c>
      <c r="H7" s="36">
        <v>44265</v>
      </c>
      <c r="I7" s="42">
        <v>0.0791</v>
      </c>
    </row>
    <row customHeight="true" ht="23" r="8">
      <c r="A8" s="35" t="s">
        <v>59</v>
      </c>
      <c r="B8" s="35" t="s">
        <v>95</v>
      </c>
      <c r="C8" s="36">
        <v>8656</v>
      </c>
      <c r="D8" s="42">
        <v>0.062</v>
      </c>
      <c r="F8" s="35" t="s">
        <v>59</v>
      </c>
      <c r="G8" s="35" t="s">
        <v>56</v>
      </c>
      <c r="H8" s="36">
        <v>45136</v>
      </c>
      <c r="I8" s="42">
        <v>0.0807</v>
      </c>
    </row>
    <row customHeight="true" ht="23" r="9">
      <c r="A9" s="35" t="s">
        <v>69</v>
      </c>
      <c r="B9" s="35" t="s">
        <v>88</v>
      </c>
      <c r="C9" s="36">
        <v>9409</v>
      </c>
      <c r="D9" s="42">
        <v>0.0674</v>
      </c>
      <c r="F9" s="35" t="s">
        <v>69</v>
      </c>
      <c r="G9" s="35" t="s">
        <v>88</v>
      </c>
      <c r="H9" s="36">
        <v>44446</v>
      </c>
      <c r="I9" s="42">
        <v>0.0795</v>
      </c>
    </row>
    <row customHeight="true" ht="23" r="10">
      <c r="A10" s="35" t="s">
        <v>21</v>
      </c>
      <c r="B10" s="35" t="s">
        <v>81</v>
      </c>
      <c r="C10" s="36">
        <v>13905</v>
      </c>
      <c r="D10" s="42">
        <v>0.0997</v>
      </c>
      <c r="F10" s="35" t="s">
        <v>21</v>
      </c>
      <c r="G10" s="35" t="s">
        <v>81</v>
      </c>
      <c r="H10" s="36">
        <v>41129</v>
      </c>
      <c r="I10" s="42">
        <v>0.0735</v>
      </c>
    </row>
    <row customHeight="true" ht="23" r="11">
      <c r="A11" s="35" t="s">
        <v>39</v>
      </c>
      <c r="B11" s="35" t="s">
        <v>90</v>
      </c>
      <c r="C11" s="36">
        <v>6816</v>
      </c>
      <c r="D11" s="42">
        <v>0.0488</v>
      </c>
      <c r="F11" s="35" t="s">
        <v>39</v>
      </c>
      <c r="G11" s="35" t="s">
        <v>96</v>
      </c>
      <c r="H11" s="36">
        <v>20229</v>
      </c>
      <c r="I11" s="42">
        <v>0.0362</v>
      </c>
    </row>
    <row customHeight="true" ht="23" r="12">
      <c r="A12" s="35" t="s">
        <v>51</v>
      </c>
      <c r="B12" s="35" t="s">
        <v>96</v>
      </c>
      <c r="C12" s="36">
        <v>8567</v>
      </c>
      <c r="D12" s="42">
        <v>0.0614</v>
      </c>
      <c r="F12" s="35" t="s">
        <v>51</v>
      </c>
      <c r="G12" s="35" t="s">
        <v>62</v>
      </c>
      <c r="H12" s="36">
        <v>25915</v>
      </c>
      <c r="I12" s="42">
        <v>0.0463</v>
      </c>
    </row>
    <row customHeight="true" ht="23" r="13">
      <c r="A13" s="35" t="s">
        <v>61</v>
      </c>
      <c r="B13" s="35" t="s">
        <v>89</v>
      </c>
      <c r="C13" s="36">
        <v>3763</v>
      </c>
      <c r="D13" s="42">
        <v>0.02696</v>
      </c>
      <c r="F13" s="35" t="s">
        <v>61</v>
      </c>
      <c r="G13" s="35" t="s">
        <v>90</v>
      </c>
      <c r="H13" s="36">
        <v>17087</v>
      </c>
      <c r="I13" s="42">
        <v>0.0306</v>
      </c>
    </row>
    <row customHeight="true" ht="23" r="14">
      <c r="A14" s="35" t="s">
        <v>25</v>
      </c>
      <c r="B14" s="35" t="s">
        <v>82</v>
      </c>
      <c r="C14" s="36">
        <v>3719</v>
      </c>
      <c r="D14" s="42">
        <v>0.0267</v>
      </c>
      <c r="F14" s="35" t="s">
        <v>25</v>
      </c>
      <c r="G14" s="35" t="s">
        <v>83</v>
      </c>
      <c r="H14" s="36">
        <v>22239</v>
      </c>
      <c r="I14" s="42">
        <v>0.0398</v>
      </c>
    </row>
    <row customHeight="true" ht="23" r="15">
      <c r="A15" s="35" t="s">
        <v>42</v>
      </c>
      <c r="B15" s="35" t="s">
        <v>91</v>
      </c>
      <c r="C15" s="36">
        <v>1176</v>
      </c>
      <c r="D15" s="42">
        <v>0.0084</v>
      </c>
      <c r="F15" s="35" t="s">
        <v>42</v>
      </c>
      <c r="G15" s="35" t="s">
        <v>102</v>
      </c>
      <c r="H15" s="36">
        <v>41129</v>
      </c>
      <c r="I15" s="42">
        <v>0.0735</v>
      </c>
    </row>
    <row customHeight="true" ht="23" r="16">
      <c r="A16" s="35" t="s">
        <v>53</v>
      </c>
      <c r="B16" s="35" t="s">
        <v>87</v>
      </c>
      <c r="C16" s="36">
        <v>468</v>
      </c>
      <c r="D16" s="42">
        <v>0.0034</v>
      </c>
      <c r="F16" s="35" t="s">
        <v>53</v>
      </c>
      <c r="G16" s="35" t="s">
        <v>97</v>
      </c>
      <c r="H16" s="36">
        <v>546</v>
      </c>
      <c r="I16" s="42">
        <v>0.00097</v>
      </c>
    </row>
    <row customHeight="true" ht="23" r="17">
      <c r="A17" s="35" t="s">
        <v>63</v>
      </c>
      <c r="B17" s="35" t="s">
        <v>84</v>
      </c>
      <c r="C17" s="36">
        <v>1276</v>
      </c>
      <c r="D17" s="42">
        <v>0.0091</v>
      </c>
      <c r="F17" s="35" t="s">
        <v>63</v>
      </c>
      <c r="G17" s="35" t="s">
        <v>91</v>
      </c>
      <c r="H17" s="36">
        <v>3915</v>
      </c>
      <c r="I17" s="42">
        <v>0.007</v>
      </c>
    </row>
    <row customHeight="true" ht="23" r="18">
      <c r="A18" s="35" t="s">
        <v>27</v>
      </c>
      <c r="B18" s="35" t="s">
        <v>85</v>
      </c>
      <c r="C18" s="36">
        <v>256</v>
      </c>
      <c r="D18" s="42">
        <v>0.0018</v>
      </c>
      <c r="F18" s="35" t="s">
        <v>27</v>
      </c>
      <c r="G18" s="35" t="s">
        <v>84</v>
      </c>
      <c r="H18" s="36">
        <v>4248</v>
      </c>
      <c r="I18" s="42">
        <v>0.0076</v>
      </c>
    </row>
    <row customHeight="true" ht="23" r="19">
      <c r="A19" s="35" t="s">
        <v>45</v>
      </c>
      <c r="B19" s="35" t="s">
        <v>104</v>
      </c>
      <c r="C19" s="36">
        <v>645</v>
      </c>
      <c r="D19" s="42">
        <v>0.0046</v>
      </c>
      <c r="F19" s="35" t="s">
        <v>45</v>
      </c>
      <c r="G19" s="35" t="s">
        <v>103</v>
      </c>
      <c r="H19" s="36">
        <v>511</v>
      </c>
      <c r="I19" s="42">
        <v>0.00091</v>
      </c>
    </row>
    <row customHeight="true" ht="23" r="20">
      <c r="A20" s="35" t="s">
        <v>55</v>
      </c>
      <c r="B20" s="35" t="s">
        <v>98</v>
      </c>
      <c r="C20" s="36">
        <v>949</v>
      </c>
      <c r="D20" s="42">
        <v>0.0068</v>
      </c>
      <c r="F20" s="35" t="s">
        <v>55</v>
      </c>
      <c r="G20" s="35" t="s">
        <v>99</v>
      </c>
      <c r="H20" s="36">
        <v>3696</v>
      </c>
      <c r="I20" s="42">
        <v>0.0066</v>
      </c>
    </row>
    <row customHeight="true" ht="23" r="21">
      <c r="A21" s="35" t="s">
        <v>65</v>
      </c>
      <c r="B21" s="35" t="s">
        <v>92</v>
      </c>
      <c r="C21" s="36">
        <v>1046</v>
      </c>
      <c r="D21" s="42">
        <v>0.0075</v>
      </c>
      <c r="F21" s="35" t="s">
        <v>65</v>
      </c>
      <c r="G21" s="35" t="s">
        <v>85</v>
      </c>
      <c r="H21" s="36">
        <v>587</v>
      </c>
      <c r="I21" s="42">
        <v>0.001</v>
      </c>
    </row>
    <row customHeight="true" ht="23" r="22">
      <c r="A22" s="35" t="s">
        <v>29</v>
      </c>
      <c r="B22" s="35" t="s">
        <v>86</v>
      </c>
      <c r="C22" s="36">
        <v>662</v>
      </c>
      <c r="D22" s="42">
        <v>0.0048</v>
      </c>
      <c r="F22" s="35" t="s">
        <v>29</v>
      </c>
      <c r="G22" s="35" t="s">
        <v>87</v>
      </c>
      <c r="H22" s="36">
        <v>613</v>
      </c>
      <c r="I22" s="42">
        <v>0.0011</v>
      </c>
    </row>
    <row customHeight="true" ht="23" r="23"/>
    <row customHeight="true" ht="23" r="24"/>
    <row customHeight="true" ht="23" r="25"/>
    <row customHeight="true" ht="23" r="26"/>
    <row customHeight="true" ht="23" r="27"/>
    <row customHeight="true" ht="23" r="28"/>
    <row customHeight="true" ht="23" r="29"/>
    <row customHeight="true" ht="23" r="30"/>
    <row customHeight="true" ht="23" r="31"/>
    <row customHeight="true" ht="23" r="32"/>
    <row customHeight="true" ht="23" r="33"/>
    <row customHeight="true" ht="23" r="34"/>
    <row customHeight="true" ht="23" r="35"/>
    <row customHeight="true" ht="23" r="36"/>
    <row customHeight="true" ht="23" r="37"/>
    <row customHeight="true" ht="23" r="38"/>
    <row customHeight="true" ht="23" r="39"/>
    <row customHeight="true" ht="23" r="40"/>
    <row customHeight="true" ht="23" r="41"/>
    <row customHeight="true" ht="23" r="42"/>
    <row customHeight="true" ht="23" r="43"/>
    <row customHeight="true" ht="23" r="44"/>
    <row customHeight="true" ht="23" r="45"/>
    <row customHeight="true" ht="23" r="46"/>
    <row customHeight="true" ht="23" r="47"/>
    <row customHeight="true" ht="23" r="48"/>
    <row customHeight="true" ht="23" r="49"/>
    <row customHeight="true" ht="23" r="50"/>
    <row customHeight="true" ht="23" r="51"/>
    <row customHeight="true" ht="23" r="52"/>
    <row customHeight="true" ht="23" r="53"/>
    <row customHeight="true" ht="23" r="54"/>
    <row customHeight="true" ht="23" r="55"/>
    <row customHeight="true" ht="23" r="56"/>
    <row customHeight="true" ht="23" r="57"/>
    <row customHeight="true" ht="23" r="58"/>
    <row customHeight="true" ht="23" r="59"/>
    <row customHeight="true" ht="23" r="60"/>
    <row customHeight="true" ht="23" r="61"/>
    <row customHeight="true" ht="23" r="62"/>
    <row customHeight="true" ht="23" r="63"/>
    <row customHeight="true" ht="23" r="64"/>
    <row customHeight="true" ht="23" r="65"/>
    <row customHeight="true" ht="23" r="66"/>
    <row customHeight="true" ht="23" r="67"/>
    <row customHeight="true" ht="23" r="68"/>
    <row customHeight="true" ht="23" r="69"/>
    <row customHeight="true" ht="23" r="70"/>
    <row customHeight="true" ht="23" r="71"/>
    <row customHeight="true" ht="23" r="72"/>
    <row customHeight="true" ht="23" r="73"/>
    <row customHeight="true" ht="23" r="74"/>
    <row customHeight="true" ht="23" r="75"/>
    <row customHeight="true" ht="23" r="76"/>
    <row customHeight="true" ht="23" r="77"/>
    <row customHeight="true" ht="23" r="78"/>
    <row customHeight="true" ht="23" r="79"/>
    <row customHeight="true" ht="23" r="80"/>
    <row customHeight="true" ht="23" r="81"/>
    <row customHeight="true" ht="23" r="82"/>
    <row customHeight="true" ht="23" r="83"/>
    <row customHeight="true" ht="23" r="84"/>
    <row customHeight="true" ht="23" r="85"/>
    <row customHeight="true" ht="23" r="86"/>
    <row customHeight="true" ht="23" r="87"/>
    <row customHeight="true" ht="23" r="88"/>
    <row customHeight="true" ht="23" r="89"/>
    <row customHeight="true" ht="23" r="90"/>
    <row customHeight="true" ht="23" r="91"/>
    <row customHeight="true" ht="23" r="92"/>
    <row customHeight="true" ht="23" r="93"/>
    <row customHeight="true" ht="23" r="94"/>
    <row customHeight="true" ht="23" r="95"/>
    <row customHeight="true" ht="23" r="96"/>
    <row customHeight="true" ht="23" r="97"/>
    <row customHeight="true" ht="23" r="98"/>
    <row customHeight="true" ht="23" r="99"/>
    <row customHeight="true" ht="23" r="100"/>
    <row customHeight="true" ht="23" r="101"/>
    <row customHeight="true" ht="23" r="102"/>
    <row customHeight="true" ht="23" r="103"/>
    <row customHeight="true" ht="23" r="104"/>
    <row customHeight="true" ht="23" r="105"/>
    <row customHeight="true" ht="23" r="106"/>
    <row customHeight="true" ht="23" r="107"/>
    <row customHeight="true" ht="23" r="108"/>
    <row customHeight="true" ht="23" r="109"/>
    <row customHeight="true" ht="23" r="110"/>
    <row customHeight="true" ht="23" r="111"/>
    <row customHeight="true" ht="23" r="112"/>
    <row customHeight="true" ht="23" r="113"/>
    <row customHeight="true" ht="23" r="114"/>
    <row customHeight="true" ht="23" r="115"/>
    <row customHeight="true" ht="23" r="116"/>
    <row customHeight="true" ht="23" r="117"/>
    <row customHeight="true" ht="23" r="118"/>
    <row customHeight="true" ht="23" r="119"/>
    <row customHeight="true" ht="23" r="120"/>
    <row customHeight="true" ht="23" r="121"/>
    <row customHeight="true" ht="23" r="122"/>
    <row customHeight="true" ht="23" r="123"/>
    <row customHeight="true" ht="23" r="124"/>
    <row customHeight="true" ht="23" r="125"/>
    <row customHeight="true" ht="23" r="126"/>
    <row customHeight="true" ht="23" r="127"/>
    <row customHeight="true" ht="23" r="128"/>
    <row customHeight="true" ht="23" r="129"/>
    <row customHeight="true" ht="23" r="130"/>
    <row customHeight="true" ht="23" r="131"/>
    <row customHeight="true" ht="23" r="132"/>
    <row customHeight="true" ht="23" r="133"/>
    <row customHeight="true" ht="23" r="134"/>
    <row customHeight="true" ht="23" r="135"/>
    <row customHeight="true" ht="23" r="136"/>
    <row customHeight="true" ht="23" r="137"/>
    <row customHeight="true" ht="23" r="138"/>
    <row customHeight="true" ht="23" r="139"/>
    <row customHeight="true" ht="23" r="140"/>
    <row customHeight="true" ht="23" r="141"/>
    <row customHeight="true" ht="23" r="142"/>
    <row customHeight="true" ht="23" r="143"/>
    <row customHeight="true" ht="23" r="144"/>
    <row customHeight="true" ht="23" r="145"/>
    <row customHeight="true" ht="23" r="146"/>
    <row customHeight="true" ht="23" r="147"/>
    <row customHeight="true" ht="23" r="148"/>
    <row customHeight="true" ht="23" r="149"/>
    <row customHeight="true" ht="23" r="150"/>
    <row customHeight="true" ht="23" r="151"/>
    <row customHeight="true" ht="23" r="152"/>
    <row customHeight="true" ht="23" r="153"/>
    <row customHeight="true" ht="23" r="154"/>
    <row customHeight="true" ht="23" r="155"/>
    <row customHeight="true" ht="23" r="156"/>
    <row customHeight="true" ht="23" r="157"/>
    <row customHeight="true" ht="23" r="158"/>
    <row customHeight="true" ht="23" r="159"/>
    <row customHeight="true" ht="23" r="160"/>
    <row customHeight="true" ht="23" r="161"/>
    <row customHeight="true" ht="23" r="162"/>
    <row customHeight="true" ht="23" r="163"/>
    <row customHeight="true" ht="23" r="164"/>
    <row customHeight="true" ht="23" r="165"/>
    <row customHeight="true" ht="23" r="166"/>
    <row customHeight="true" ht="23" r="167"/>
    <row customHeight="true" ht="23" r="168"/>
    <row customHeight="true" ht="23" r="169"/>
    <row customHeight="true" ht="23" r="170"/>
    <row customHeight="true" ht="23" r="171"/>
    <row customHeight="true" ht="23" r="172"/>
    <row customHeight="true" ht="23" r="173"/>
    <row customHeight="true" ht="23" r="174"/>
    <row customHeight="true" ht="23" r="175"/>
    <row customHeight="true" ht="23" r="176"/>
    <row customHeight="true" ht="23" r="177"/>
    <row customHeight="true" ht="23" r="178"/>
    <row customHeight="true" ht="23" r="179"/>
    <row customHeight="true" ht="23" r="180"/>
    <row customHeight="true" ht="23" r="181"/>
    <row customHeight="true" ht="23" r="182"/>
    <row customHeight="true" ht="23" r="183"/>
    <row customHeight="true" ht="23" r="184"/>
    <row customHeight="true" ht="23" r="185"/>
    <row customHeight="true" ht="23" r="186"/>
    <row customHeight="true" ht="23" r="187"/>
    <row customHeight="true" ht="23" r="188"/>
    <row customHeight="true" ht="23" r="189"/>
    <row customHeight="true" ht="23" r="190"/>
    <row customHeight="true" ht="23" r="191"/>
    <row customHeight="true" ht="23" r="192"/>
    <row customHeight="true" ht="23" r="193"/>
    <row customHeight="true" ht="23" r="194"/>
    <row customHeight="true" ht="23" r="195"/>
    <row customHeight="true" ht="23" r="196"/>
    <row customHeight="true" ht="23" r="197"/>
    <row customHeight="true" ht="23" r="198"/>
    <row customHeight="true" ht="23" r="199"/>
    <row customHeight="true" ht="23" r="200"/>
  </sheetData>
  <mergeCells>
    <mergeCell ref="A1:D1"/>
    <mergeCell ref="F1:I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7"/>
    <col collapsed="false" customWidth="true" hidden="false" max="3" min="3" style="0" width="13"/>
    <col collapsed="false" customWidth="true" hidden="false" max="4" min="4" style="0" width="15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3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43" t="str">
        <v>异常用户解读类型（监测时间2020.12-2022.7）</v>
      </c>
      <c r="B1" s="43"/>
      <c r="C1" s="43"/>
      <c r="D1" s="43"/>
      <c r="E1" s="43"/>
      <c r="F1" s="43"/>
      <c r="G1" s="43"/>
      <c r="H1" s="43"/>
    </row>
    <row r="2">
      <c r="A2" s="48" t="s">
        <v>115</v>
      </c>
      <c r="B2" s="48" t="s">
        <v>119</v>
      </c>
      <c r="C2" s="48" t="s">
        <v>116</v>
      </c>
      <c r="D2" s="48" t="s">
        <v>120</v>
      </c>
      <c r="E2" s="48" t="s">
        <v>117</v>
      </c>
      <c r="F2" s="48" t="s">
        <v>121</v>
      </c>
      <c r="G2" s="48" t="s">
        <v>118</v>
      </c>
      <c r="H2" s="48" t="s">
        <v>122</v>
      </c>
    </row>
    <row r="3">
      <c r="A3" s="45" t="s">
        <v>131</v>
      </c>
      <c r="B3" s="45" t="s">
        <v>132</v>
      </c>
      <c r="C3" s="46">
        <v>2</v>
      </c>
      <c r="D3" s="47">
        <v>0.00003</v>
      </c>
      <c r="E3" s="46">
        <v>2</v>
      </c>
      <c r="F3" s="36">
        <v>1</v>
      </c>
      <c r="G3" s="35" t="s">
        <v>46</v>
      </c>
      <c r="H3" s="46">
        <v>1</v>
      </c>
    </row>
    <row r="4">
      <c r="A4" s="45" t="s">
        <v>141</v>
      </c>
      <c r="B4" s="45" t="s">
        <v>142</v>
      </c>
      <c r="C4" s="46">
        <v>3</v>
      </c>
      <c r="D4" s="47">
        <v>0.000049</v>
      </c>
      <c r="E4" s="46">
        <v>3</v>
      </c>
      <c r="F4" s="36">
        <v>2</v>
      </c>
      <c r="G4" s="35" t="s">
        <v>46</v>
      </c>
      <c r="H4" s="46">
        <v>1</v>
      </c>
    </row>
    <row r="5">
      <c r="A5" s="45" t="s">
        <v>143</v>
      </c>
      <c r="B5" s="45" t="s">
        <v>144</v>
      </c>
      <c r="C5" s="46">
        <v>6</v>
      </c>
      <c r="D5" s="47">
        <v>0.0001</v>
      </c>
      <c r="E5" s="46">
        <v>49</v>
      </c>
      <c r="F5" s="36">
        <v>3</v>
      </c>
      <c r="G5" s="35" t="s">
        <v>38</v>
      </c>
      <c r="H5" s="46">
        <v>8.17</v>
      </c>
    </row>
    <row r="6">
      <c r="A6" s="45" t="s">
        <v>105</v>
      </c>
      <c r="B6" s="45" t="s">
        <v>106</v>
      </c>
      <c r="C6" s="46">
        <v>16</v>
      </c>
      <c r="D6" s="47">
        <v>0.0003</v>
      </c>
      <c r="E6" s="46">
        <v>56</v>
      </c>
      <c r="F6" s="36">
        <v>4</v>
      </c>
      <c r="G6" s="35" t="s">
        <v>38</v>
      </c>
      <c r="H6" s="46">
        <v>3.5</v>
      </c>
    </row>
    <row r="7">
      <c r="A7" s="45" t="s">
        <v>123</v>
      </c>
      <c r="B7" s="45" t="s">
        <v>124</v>
      </c>
      <c r="C7" s="46">
        <v>4</v>
      </c>
      <c r="D7" s="47">
        <v>0.000066</v>
      </c>
      <c r="E7" s="46">
        <v>4</v>
      </c>
      <c r="F7" s="36">
        <v>5</v>
      </c>
      <c r="G7" s="35" t="s">
        <v>38</v>
      </c>
      <c r="H7" s="46">
        <v>1</v>
      </c>
    </row>
    <row r="8">
      <c r="A8" s="45" t="s">
        <v>133</v>
      </c>
      <c r="B8" s="45" t="s">
        <v>134</v>
      </c>
      <c r="C8" s="46">
        <v>10</v>
      </c>
      <c r="D8" s="47">
        <v>0.0002</v>
      </c>
      <c r="E8" s="46">
        <v>17</v>
      </c>
      <c r="F8" s="36">
        <v>6</v>
      </c>
      <c r="G8" s="35" t="s">
        <v>41</v>
      </c>
      <c r="H8" s="46">
        <v>1.7</v>
      </c>
    </row>
    <row r="9">
      <c r="A9" s="45" t="s">
        <v>145</v>
      </c>
      <c r="B9" s="45" t="s">
        <v>146</v>
      </c>
      <c r="C9" s="46">
        <v>117</v>
      </c>
      <c r="D9" s="47">
        <v>0.0019</v>
      </c>
      <c r="E9" s="46">
        <v>269</v>
      </c>
      <c r="F9" s="36">
        <v>7</v>
      </c>
      <c r="G9" s="35" t="s">
        <v>23</v>
      </c>
      <c r="H9" s="46">
        <v>2.3</v>
      </c>
    </row>
    <row r="10">
      <c r="A10" s="45" t="s">
        <v>108</v>
      </c>
      <c r="B10" s="45" t="s">
        <v>107</v>
      </c>
      <c r="C10" s="46">
        <v>18</v>
      </c>
      <c r="D10" s="47">
        <v>0.0003</v>
      </c>
      <c r="E10" s="46">
        <v>29</v>
      </c>
      <c r="F10" s="36">
        <v>8</v>
      </c>
      <c r="G10" s="35" t="s">
        <v>23</v>
      </c>
      <c r="H10" s="46">
        <v>1.6</v>
      </c>
    </row>
    <row r="11">
      <c r="A11" s="45" t="s">
        <v>126</v>
      </c>
      <c r="B11" s="45" t="s">
        <v>125</v>
      </c>
      <c r="C11" s="46">
        <v>1046</v>
      </c>
      <c r="D11" s="47">
        <v>0.0173</v>
      </c>
      <c r="E11" s="46">
        <v>1925</v>
      </c>
      <c r="F11" s="36">
        <v>9</v>
      </c>
      <c r="G11" s="35" t="s">
        <v>23</v>
      </c>
      <c r="H11" s="46">
        <v>1.84</v>
      </c>
    </row>
    <row r="12">
      <c r="A12" s="45" t="s">
        <v>135</v>
      </c>
      <c r="B12" s="45" t="s">
        <v>136</v>
      </c>
      <c r="C12" s="46">
        <v>261</v>
      </c>
      <c r="D12" s="47">
        <v>0.0043</v>
      </c>
      <c r="E12" s="46">
        <v>839</v>
      </c>
      <c r="F12" s="36">
        <v>10</v>
      </c>
      <c r="G12" s="35" t="s">
        <v>23</v>
      </c>
      <c r="H12" s="46">
        <v>3.21</v>
      </c>
    </row>
    <row r="13">
      <c r="A13" s="45" t="s">
        <v>147</v>
      </c>
      <c r="B13" s="45" t="s">
        <v>148</v>
      </c>
      <c r="C13" s="46">
        <v>3719</v>
      </c>
      <c r="D13" s="47">
        <v>0.0614</v>
      </c>
      <c r="E13" s="46">
        <v>25988</v>
      </c>
      <c r="F13" s="36">
        <v>11</v>
      </c>
      <c r="G13" s="35" t="s">
        <v>24</v>
      </c>
      <c r="H13" s="46">
        <v>6.99</v>
      </c>
    </row>
    <row r="14">
      <c r="A14" s="45" t="s">
        <v>109</v>
      </c>
      <c r="B14" s="45" t="s">
        <v>110</v>
      </c>
      <c r="C14" s="46">
        <v>49</v>
      </c>
      <c r="D14" s="47">
        <v>0.0008</v>
      </c>
      <c r="E14" s="46">
        <v>368</v>
      </c>
      <c r="F14" s="36">
        <v>12</v>
      </c>
      <c r="G14" s="35" t="s">
        <v>24</v>
      </c>
      <c r="H14" s="46">
        <v>7.51</v>
      </c>
    </row>
    <row r="15">
      <c r="A15" s="45" t="s">
        <v>127</v>
      </c>
      <c r="B15" s="45" t="s">
        <v>128</v>
      </c>
      <c r="C15" s="46">
        <v>43</v>
      </c>
      <c r="D15" s="47">
        <v>0.0007</v>
      </c>
      <c r="E15" s="46">
        <v>68</v>
      </c>
      <c r="F15" s="36">
        <v>13</v>
      </c>
      <c r="G15" s="35" t="s">
        <v>41</v>
      </c>
      <c r="H15" s="46">
        <v>1.58</v>
      </c>
    </row>
    <row r="16">
      <c r="A16" s="45" t="s">
        <v>137</v>
      </c>
      <c r="B16" s="45" t="s">
        <v>138</v>
      </c>
      <c r="C16" s="46">
        <v>117</v>
      </c>
      <c r="D16" s="47">
        <v>0.0019</v>
      </c>
      <c r="E16" s="46">
        <v>286</v>
      </c>
      <c r="F16" s="36">
        <v>14</v>
      </c>
      <c r="G16" s="35" t="s">
        <v>23</v>
      </c>
      <c r="H16" s="46">
        <v>2.44</v>
      </c>
    </row>
    <row r="17">
      <c r="A17" s="45" t="s">
        <v>150</v>
      </c>
      <c r="B17" s="45" t="s">
        <v>149</v>
      </c>
      <c r="C17" s="46">
        <v>30</v>
      </c>
      <c r="D17" s="47">
        <v>0.0005</v>
      </c>
      <c r="E17" s="46">
        <v>75</v>
      </c>
      <c r="F17" s="36">
        <v>15</v>
      </c>
      <c r="G17" s="35" t="s">
        <v>23</v>
      </c>
      <c r="H17" s="46">
        <v>2.5</v>
      </c>
    </row>
    <row r="18">
      <c r="A18" s="45" t="s">
        <v>111</v>
      </c>
      <c r="B18" s="45" t="s">
        <v>112</v>
      </c>
      <c r="C18" s="46">
        <v>174</v>
      </c>
      <c r="D18" s="47">
        <v>0.0029</v>
      </c>
      <c r="E18" s="46">
        <v>1101</v>
      </c>
      <c r="F18" s="36">
        <v>16</v>
      </c>
      <c r="G18" s="35" t="s">
        <v>23</v>
      </c>
      <c r="H18" s="46">
        <v>6.33</v>
      </c>
    </row>
    <row r="19">
      <c r="A19" s="45" t="s">
        <v>129</v>
      </c>
      <c r="B19" s="45" t="s">
        <v>130</v>
      </c>
      <c r="C19" s="46">
        <v>662</v>
      </c>
      <c r="D19" s="47">
        <v>0.0109</v>
      </c>
      <c r="E19" s="46">
        <v>1644</v>
      </c>
      <c r="F19" s="36">
        <v>17</v>
      </c>
      <c r="G19" s="35" t="s">
        <v>23</v>
      </c>
      <c r="H19" s="46">
        <v>2.48</v>
      </c>
    </row>
    <row r="20">
      <c r="A20" s="45" t="s">
        <v>140</v>
      </c>
      <c r="B20" s="45" t="s">
        <v>139</v>
      </c>
      <c r="C20" s="46">
        <v>12492</v>
      </c>
      <c r="D20" s="47">
        <v>0.2062</v>
      </c>
      <c r="E20" s="46">
        <v>45231</v>
      </c>
      <c r="F20" s="36">
        <v>18</v>
      </c>
      <c r="G20" s="35" t="s">
        <v>23</v>
      </c>
      <c r="H20" s="46">
        <v>3.62</v>
      </c>
    </row>
    <row r="21">
      <c r="A21" s="45" t="s">
        <v>151</v>
      </c>
      <c r="B21" s="45" t="s">
        <v>152</v>
      </c>
      <c r="C21" s="46">
        <v>14949</v>
      </c>
      <c r="D21" s="47">
        <v>0.2468</v>
      </c>
      <c r="E21" s="46">
        <v>40087</v>
      </c>
      <c r="F21" s="36">
        <v>19</v>
      </c>
      <c r="G21" s="35" t="s">
        <v>23</v>
      </c>
      <c r="H21" s="46">
        <v>2.68</v>
      </c>
    </row>
    <row r="22">
      <c r="A22" s="45" t="s">
        <v>113</v>
      </c>
      <c r="B22" s="45" t="s">
        <v>114</v>
      </c>
      <c r="C22" s="46">
        <v>26856</v>
      </c>
      <c r="D22" s="47">
        <v>0.4434</v>
      </c>
      <c r="E22" s="46">
        <v>122289</v>
      </c>
      <c r="F22" s="36">
        <v>20</v>
      </c>
      <c r="G22" s="35" t="s">
        <v>23</v>
      </c>
      <c r="H22" s="46">
        <v>4.55</v>
      </c>
    </row>
    <row r="23">
      <c r="C23" s="46">
        <v>60574</v>
      </c>
      <c r="E23" s="46">
        <v>240327</v>
      </c>
    </row>
  </sheetData>
  <mergeCells>
    <mergeCell ref="A1:H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30"/>
    <col collapsed="false" customWidth="true" hidden="false" max="3" min="3" style="0" width="18"/>
    <col collapsed="false" customWidth="true" hidden="false" max="4" min="4" style="0" width="48"/>
    <col collapsed="false" customWidth="true" hidden="false" max="5" min="5" style="0" width="8"/>
    <col collapsed="false" customWidth="true" hidden="false" max="6" min="6" style="0" width="25"/>
    <col collapsed="false" customWidth="true" hidden="false" max="7" min="7" style="0" width="15"/>
    <col collapsed="false" customWidth="true" hidden="false" max="8" min="8" style="0" width="21"/>
    <col collapsed="false" customWidth="true" hidden="false" max="9" min="9" style="0" width="21"/>
  </cols>
  <sheetData>
    <row r="1">
      <c r="A1" s="50" t="str">
        <v>异常用户解读次数及占比</v>
      </c>
      <c r="B1" s="50"/>
      <c r="C1" s="50"/>
      <c r="E1" s="43" t="str">
        <v>用户异常解读使用次数</v>
      </c>
      <c r="F1" s="43"/>
      <c r="G1" s="43"/>
      <c r="H1" s="43"/>
      <c r="I1" s="43"/>
    </row>
    <row r="2">
      <c r="A2" s="35" t="s">
        <v>167</v>
      </c>
      <c r="B2" s="35" t="s">
        <v>165</v>
      </c>
      <c r="C2" s="35" t="s">
        <v>168</v>
      </c>
      <c r="E2" s="41" t="s">
        <v>75</v>
      </c>
      <c r="F2" s="41" t="s">
        <v>71</v>
      </c>
      <c r="G2" s="41" t="s">
        <v>169</v>
      </c>
      <c r="H2" s="41" t="s">
        <v>166</v>
      </c>
      <c r="I2" s="41" t="s">
        <v>170</v>
      </c>
    </row>
    <row r="3">
      <c r="A3" s="35" t="s">
        <v>47</v>
      </c>
      <c r="B3" s="36">
        <v>52684</v>
      </c>
      <c r="C3" s="37">
        <f>B3/B13</f>
      </c>
      <c r="E3" s="35" t="s">
        <v>47</v>
      </c>
      <c r="F3" s="35" t="s">
        <v>97</v>
      </c>
      <c r="G3" s="36">
        <v>14</v>
      </c>
      <c r="H3" s="36">
        <v>546</v>
      </c>
      <c r="I3" s="36">
        <v>39</v>
      </c>
    </row>
    <row r="4">
      <c r="A4" s="35" t="s">
        <v>57</v>
      </c>
      <c r="B4" s="36">
        <v>13953</v>
      </c>
      <c r="C4" s="37">
        <f>B4/B13</f>
      </c>
      <c r="E4" s="35" t="s">
        <v>57</v>
      </c>
      <c r="F4" s="35" t="s">
        <v>103</v>
      </c>
      <c r="G4" s="36">
        <v>111</v>
      </c>
      <c r="H4" s="36">
        <v>511</v>
      </c>
      <c r="I4" s="36">
        <v>4.61</v>
      </c>
    </row>
    <row r="5">
      <c r="A5" s="35" t="s">
        <v>68</v>
      </c>
      <c r="B5" s="36">
        <v>5739</v>
      </c>
      <c r="C5" s="37">
        <f>B5/B13</f>
      </c>
      <c r="E5" s="35" t="s">
        <v>68</v>
      </c>
      <c r="F5" s="35" t="s">
        <v>28</v>
      </c>
      <c r="G5" s="36">
        <v>174</v>
      </c>
      <c r="H5" s="36">
        <v>1100</v>
      </c>
      <c r="I5" s="36">
        <v>6.32</v>
      </c>
    </row>
    <row r="6">
      <c r="A6" s="35" t="s">
        <v>36</v>
      </c>
      <c r="B6" s="36">
        <v>2979</v>
      </c>
      <c r="C6" s="37">
        <f>B6/B13</f>
      </c>
      <c r="E6" s="35" t="s">
        <v>36</v>
      </c>
      <c r="F6" s="35" t="s">
        <v>171</v>
      </c>
      <c r="G6" s="36">
        <v>73</v>
      </c>
      <c r="H6" s="36">
        <v>219</v>
      </c>
      <c r="I6" s="36">
        <v>3</v>
      </c>
    </row>
    <row r="7">
      <c r="A7" s="35" t="s">
        <v>49</v>
      </c>
      <c r="B7" s="36">
        <v>1802</v>
      </c>
      <c r="C7" s="37">
        <f>B7/B13</f>
      </c>
      <c r="E7" s="35" t="s">
        <v>49</v>
      </c>
      <c r="F7" s="35" t="s">
        <v>155</v>
      </c>
      <c r="G7" s="36">
        <v>20</v>
      </c>
      <c r="H7" s="36">
        <v>49</v>
      </c>
      <c r="I7" s="36">
        <v>2.45</v>
      </c>
    </row>
    <row r="8">
      <c r="A8" s="35" t="s">
        <v>158</v>
      </c>
      <c r="B8" s="36">
        <v>2892</v>
      </c>
      <c r="C8" s="37">
        <f>B8/B13</f>
      </c>
      <c r="E8" s="35" t="s">
        <v>59</v>
      </c>
      <c r="F8" s="35" t="s">
        <v>157</v>
      </c>
      <c r="G8" s="36">
        <v>33</v>
      </c>
      <c r="H8" s="36">
        <v>45</v>
      </c>
      <c r="I8" s="36">
        <v>1.36</v>
      </c>
    </row>
    <row r="9">
      <c r="A9" s="35" t="s">
        <v>159</v>
      </c>
      <c r="B9" s="36">
        <v>1365</v>
      </c>
      <c r="C9" s="37">
        <f>B9/B13</f>
      </c>
      <c r="E9" s="35" t="s">
        <v>69</v>
      </c>
      <c r="F9" s="35" t="s">
        <v>62</v>
      </c>
      <c r="G9" s="36">
        <v>3719</v>
      </c>
      <c r="H9" s="36">
        <v>25853</v>
      </c>
      <c r="I9" s="36">
        <v>6.95</v>
      </c>
    </row>
    <row r="10">
      <c r="A10" s="35" t="s">
        <v>161</v>
      </c>
      <c r="B10" s="36">
        <v>1056</v>
      </c>
      <c r="C10" s="37">
        <f>B10/B13</f>
      </c>
      <c r="E10" s="35" t="s">
        <v>21</v>
      </c>
      <c r="F10" s="35" t="s">
        <v>162</v>
      </c>
      <c r="G10" s="36">
        <v>322</v>
      </c>
      <c r="H10" s="36">
        <v>877</v>
      </c>
      <c r="I10" s="36">
        <v>2.72</v>
      </c>
    </row>
    <row r="11">
      <c r="A11" s="35" t="s">
        <v>153</v>
      </c>
      <c r="B11" s="36">
        <v>454</v>
      </c>
      <c r="C11" s="37">
        <f>B11/B13</f>
      </c>
      <c r="E11" s="35" t="s">
        <v>39</v>
      </c>
      <c r="F11" s="35" t="s">
        <v>154</v>
      </c>
      <c r="G11" s="36">
        <v>372</v>
      </c>
      <c r="H11" s="36">
        <v>830</v>
      </c>
      <c r="I11" s="36">
        <v>2.23</v>
      </c>
    </row>
    <row r="12">
      <c r="A12" s="35" t="s">
        <v>156</v>
      </c>
      <c r="B12" s="36">
        <v>528</v>
      </c>
      <c r="C12" s="37">
        <f>B12/B13</f>
      </c>
      <c r="E12" s="35" t="s">
        <v>51</v>
      </c>
      <c r="F12" s="35" t="s">
        <v>84</v>
      </c>
      <c r="G12" s="36">
        <v>1274</v>
      </c>
      <c r="H12" s="36">
        <v>4236</v>
      </c>
      <c r="I12" s="36">
        <v>3.32</v>
      </c>
    </row>
    <row r="13">
      <c r="A13" s="35" t="s">
        <v>160</v>
      </c>
      <c r="B13" s="36">
        <v>83452</v>
      </c>
      <c r="C13" s="35"/>
      <c r="E13" s="35" t="s">
        <v>61</v>
      </c>
      <c r="F13" s="35" t="s">
        <v>99</v>
      </c>
      <c r="G13" s="36">
        <v>902</v>
      </c>
      <c r="H13" s="36">
        <v>3687</v>
      </c>
      <c r="I13" s="36">
        <v>4.09</v>
      </c>
    </row>
    <row r="14">
      <c r="E14" s="35" t="s">
        <v>25</v>
      </c>
      <c r="F14" s="35" t="s">
        <v>163</v>
      </c>
      <c r="G14" s="36">
        <v>0</v>
      </c>
      <c r="H14" s="36">
        <v>0</v>
      </c>
      <c r="I14" s="36">
        <v>0</v>
      </c>
    </row>
    <row r="15">
      <c r="C15" s="25"/>
      <c r="E15" s="35" t="s">
        <v>42</v>
      </c>
      <c r="F15" s="35" t="s">
        <v>91</v>
      </c>
      <c r="G15" s="36">
        <v>1174</v>
      </c>
      <c r="H15" s="36">
        <v>3899</v>
      </c>
      <c r="I15" s="36">
        <v>3.32</v>
      </c>
    </row>
    <row r="16">
      <c r="C16" s="25"/>
      <c r="E16" s="35" t="s">
        <v>53</v>
      </c>
      <c r="F16" s="35" t="s">
        <v>95</v>
      </c>
      <c r="G16" s="36">
        <v>8651</v>
      </c>
      <c r="H16" s="36">
        <v>44206</v>
      </c>
      <c r="I16" s="36">
        <v>5.11</v>
      </c>
    </row>
    <row r="17">
      <c r="E17" s="35" t="s">
        <v>63</v>
      </c>
      <c r="F17" s="35" t="s">
        <v>26</v>
      </c>
      <c r="G17" s="36">
        <v>49</v>
      </c>
      <c r="H17" s="36">
        <v>367</v>
      </c>
      <c r="I17" s="36">
        <v>7.49</v>
      </c>
    </row>
    <row r="18">
      <c r="E18" s="35" t="s">
        <v>27</v>
      </c>
      <c r="F18" s="35" t="s">
        <v>30</v>
      </c>
      <c r="G18" s="36">
        <v>26856</v>
      </c>
      <c r="H18" s="36">
        <v>121713</v>
      </c>
      <c r="I18" s="36">
        <v>4.53</v>
      </c>
    </row>
    <row r="19">
      <c r="E19" s="35" t="s">
        <v>45</v>
      </c>
      <c r="F19" s="35" t="s">
        <v>80</v>
      </c>
      <c r="G19" s="36">
        <v>13180</v>
      </c>
      <c r="H19" s="36">
        <v>51259</v>
      </c>
      <c r="I19" s="36">
        <v>3.89</v>
      </c>
    </row>
    <row r="20">
      <c r="E20" s="35" t="s">
        <v>55</v>
      </c>
      <c r="F20" s="35" t="s">
        <v>40</v>
      </c>
      <c r="G20" s="36">
        <v>1044</v>
      </c>
      <c r="H20" s="36">
        <v>1923</v>
      </c>
      <c r="I20" s="36">
        <v>1.85</v>
      </c>
    </row>
    <row r="21">
      <c r="E21" s="35" t="s">
        <v>65</v>
      </c>
      <c r="F21" s="35" t="s">
        <v>88</v>
      </c>
      <c r="G21" s="36">
        <v>9409</v>
      </c>
      <c r="H21" s="36">
        <v>44446</v>
      </c>
      <c r="I21" s="36">
        <v>4.72</v>
      </c>
    </row>
    <row r="22">
      <c r="E22" s="35" t="s">
        <v>29</v>
      </c>
      <c r="F22" s="35" t="s">
        <v>164</v>
      </c>
      <c r="G22" s="36">
        <v>88</v>
      </c>
      <c r="H22" s="36">
        <v>180</v>
      </c>
      <c r="I22" s="36">
        <v>2.05</v>
      </c>
    </row>
    <row r="23">
      <c r="B23" s="49"/>
    </row>
  </sheetData>
  <mergeCells>
    <mergeCell ref="A1:C1"/>
    <mergeCell ref="E1:I1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15"/>
    <col collapsed="false" customWidth="true" hidden="false" max="3" min="3" style="0" width="13"/>
    <col collapsed="false" customWidth="true" hidden="false" max="4" min="4" style="0" width="14"/>
    <col collapsed="false" customWidth="true" hidden="false" max="7" min="7" style="0" width="25"/>
    <col collapsed="false" customWidth="true" hidden="false" max="8" min="8" style="0" width="9"/>
    <col collapsed="false" customWidth="true" hidden="false" max="9" min="9" style="0" width="25"/>
    <col collapsed="false" customWidth="true" hidden="false" max="10" min="10" style="0" width="6"/>
  </cols>
  <sheetData>
    <row r="1">
      <c r="A1" s="43" t="str">
        <v>异常用户仅解读1次
解读结果类型</v>
      </c>
      <c r="B1" s="51"/>
      <c r="C1" s="51"/>
      <c r="D1" s="51"/>
    </row>
    <row r="2">
      <c r="A2" s="41" t="s">
        <v>202</v>
      </c>
      <c r="B2" s="41" t="s">
        <v>203</v>
      </c>
      <c r="C2" s="41" t="s">
        <v>204</v>
      </c>
      <c r="D2" s="41" t="s">
        <v>205</v>
      </c>
    </row>
    <row r="3">
      <c r="A3" s="35" t="s">
        <v>66</v>
      </c>
      <c r="B3" s="35">
        <v>798</v>
      </c>
      <c r="C3" s="36">
        <v>19</v>
      </c>
      <c r="D3" s="35" t="s">
        <v>23</v>
      </c>
      <c r="G3" s="52"/>
      <c r="H3" s="52"/>
      <c r="I3" s="52"/>
      <c r="J3" s="52"/>
    </row>
    <row r="4">
      <c r="A4" s="35" t="s">
        <v>197</v>
      </c>
      <c r="B4" s="41">
        <v>1443</v>
      </c>
      <c r="C4" s="36">
        <v>20</v>
      </c>
      <c r="D4" s="35" t="s">
        <v>23</v>
      </c>
      <c r="G4" s="52"/>
      <c r="H4" s="52"/>
      <c r="I4" s="52"/>
      <c r="J4" s="52"/>
    </row>
    <row r="5">
      <c r="A5" s="35" t="s">
        <v>195</v>
      </c>
      <c r="B5" s="41">
        <v>529</v>
      </c>
      <c r="C5" s="36">
        <v>59</v>
      </c>
      <c r="D5" s="35" t="s">
        <v>172</v>
      </c>
      <c r="G5" s="52"/>
      <c r="H5" s="52"/>
      <c r="I5" s="52"/>
      <c r="J5" s="52"/>
    </row>
    <row r="6">
      <c r="A6" s="35" t="s">
        <v>193</v>
      </c>
      <c r="B6" s="41">
        <v>524</v>
      </c>
      <c r="C6" s="36">
        <v>56</v>
      </c>
      <c r="D6" s="35" t="s">
        <v>172</v>
      </c>
      <c r="G6" s="52"/>
      <c r="H6" s="52"/>
      <c r="I6" s="52"/>
      <c r="J6" s="52"/>
    </row>
    <row r="7">
      <c r="A7" s="35" t="s">
        <v>80</v>
      </c>
      <c r="B7" s="41">
        <v>940</v>
      </c>
      <c r="C7" s="36">
        <v>40</v>
      </c>
      <c r="D7" s="35" t="s">
        <v>172</v>
      </c>
      <c r="G7" s="52"/>
      <c r="H7" s="52"/>
      <c r="I7" s="52"/>
      <c r="J7" s="52"/>
    </row>
    <row r="8">
      <c r="A8" s="35" t="s">
        <v>190</v>
      </c>
      <c r="B8" s="41">
        <v>979</v>
      </c>
      <c r="C8" s="36">
        <v>18</v>
      </c>
      <c r="D8" s="35" t="s">
        <v>23</v>
      </c>
      <c r="G8" s="52"/>
      <c r="H8" s="52"/>
      <c r="I8" s="52"/>
      <c r="J8" s="52"/>
    </row>
    <row r="9">
      <c r="A9" s="35" t="s">
        <v>188</v>
      </c>
      <c r="B9" s="41">
        <v>1153</v>
      </c>
      <c r="C9" s="36">
        <v>33</v>
      </c>
      <c r="D9" s="35" t="s">
        <v>23</v>
      </c>
      <c r="G9" s="52"/>
      <c r="H9" s="52"/>
      <c r="I9" s="52"/>
      <c r="J9" s="52"/>
    </row>
    <row r="10">
      <c r="A10" s="35" t="s">
        <v>186</v>
      </c>
      <c r="B10" s="41">
        <v>1039</v>
      </c>
      <c r="C10" s="36">
        <v>58</v>
      </c>
      <c r="D10" s="35" t="s">
        <v>172</v>
      </c>
      <c r="G10" s="52"/>
      <c r="H10" s="52"/>
      <c r="I10" s="52"/>
      <c r="J10" s="52"/>
    </row>
    <row r="11">
      <c r="A11" s="35" t="s">
        <v>184</v>
      </c>
      <c r="B11" s="41">
        <v>1005</v>
      </c>
      <c r="C11" s="36">
        <v>41</v>
      </c>
      <c r="D11" s="35" t="s">
        <v>172</v>
      </c>
      <c r="G11" s="52"/>
      <c r="H11" s="52"/>
      <c r="I11" s="52"/>
      <c r="J11" s="52"/>
    </row>
    <row r="12">
      <c r="A12" s="35" t="s">
        <v>83</v>
      </c>
      <c r="B12" s="41">
        <v>283</v>
      </c>
      <c r="C12" s="36">
        <v>55</v>
      </c>
      <c r="D12" s="35" t="s">
        <v>172</v>
      </c>
      <c r="G12" s="52"/>
      <c r="H12" s="52"/>
      <c r="I12" s="52"/>
      <c r="J12" s="52"/>
    </row>
    <row r="13">
      <c r="A13" s="35" t="s">
        <v>82</v>
      </c>
      <c r="B13" s="41">
        <v>224</v>
      </c>
      <c r="C13" s="36">
        <v>11</v>
      </c>
      <c r="D13" s="35" t="s">
        <v>172</v>
      </c>
      <c r="G13" s="52"/>
      <c r="H13" s="52"/>
      <c r="I13" s="52"/>
      <c r="J13" s="52"/>
    </row>
    <row r="14">
      <c r="A14" s="35" t="s">
        <v>180</v>
      </c>
      <c r="B14" s="41">
        <v>366</v>
      </c>
      <c r="C14" s="36">
        <v>47</v>
      </c>
      <c r="D14" s="35" t="s">
        <v>172</v>
      </c>
      <c r="G14" s="52"/>
      <c r="H14" s="52"/>
      <c r="I14" s="52"/>
      <c r="J14" s="52"/>
    </row>
    <row r="15">
      <c r="A15" s="35" t="s">
        <v>178</v>
      </c>
      <c r="B15" s="41">
        <v>15</v>
      </c>
      <c r="C15" s="36">
        <v>23</v>
      </c>
      <c r="D15" s="35" t="s">
        <v>23</v>
      </c>
      <c r="G15" s="52"/>
      <c r="H15" s="52"/>
      <c r="I15" s="52"/>
      <c r="J15" s="52"/>
    </row>
    <row r="16">
      <c r="A16" s="35" t="s">
        <v>175</v>
      </c>
      <c r="B16" s="41">
        <v>151</v>
      </c>
      <c r="C16" s="36">
        <v>21</v>
      </c>
      <c r="D16" s="35" t="s">
        <v>23</v>
      </c>
      <c r="G16" s="52"/>
      <c r="H16" s="52"/>
      <c r="I16" s="52"/>
      <c r="J16" s="52"/>
    </row>
    <row r="17">
      <c r="A17" s="35" t="s">
        <v>173</v>
      </c>
      <c r="B17" s="41">
        <v>124</v>
      </c>
      <c r="C17" s="36">
        <v>37</v>
      </c>
      <c r="D17" s="35" t="s">
        <v>172</v>
      </c>
      <c r="G17" s="52"/>
      <c r="H17" s="52"/>
      <c r="I17" s="52"/>
      <c r="J17" s="52"/>
    </row>
    <row r="18">
      <c r="A18" s="35" t="s">
        <v>206</v>
      </c>
      <c r="B18" s="41">
        <v>100</v>
      </c>
      <c r="C18" s="36">
        <v>34</v>
      </c>
      <c r="D18" s="35" t="s">
        <v>172</v>
      </c>
      <c r="G18" s="52"/>
      <c r="H18" s="52"/>
      <c r="I18" s="52"/>
      <c r="J18" s="52"/>
    </row>
    <row r="19">
      <c r="A19" s="35" t="s">
        <v>200</v>
      </c>
      <c r="B19" s="41">
        <v>137</v>
      </c>
      <c r="C19" s="36">
        <v>36</v>
      </c>
      <c r="D19" s="35" t="s">
        <v>172</v>
      </c>
      <c r="G19" s="52"/>
      <c r="H19" s="52"/>
      <c r="I19" s="52"/>
      <c r="J19" s="52"/>
    </row>
    <row r="20">
      <c r="A20" s="35" t="s">
        <v>198</v>
      </c>
      <c r="B20" s="41">
        <v>204</v>
      </c>
      <c r="C20" s="36">
        <v>39</v>
      </c>
      <c r="D20" s="35" t="s">
        <v>172</v>
      </c>
      <c r="G20" s="52"/>
      <c r="H20" s="52"/>
      <c r="I20" s="52"/>
      <c r="J20" s="52"/>
    </row>
    <row r="21">
      <c r="A21" s="35" t="s">
        <v>40</v>
      </c>
      <c r="B21" s="41">
        <v>92</v>
      </c>
      <c r="C21" s="36">
        <v>9</v>
      </c>
      <c r="D21" s="35" t="s">
        <v>23</v>
      </c>
      <c r="G21" s="52"/>
      <c r="H21" s="52"/>
      <c r="I21" s="52"/>
      <c r="J21" s="52"/>
    </row>
    <row r="22">
      <c r="A22" s="35" t="s">
        <v>194</v>
      </c>
      <c r="B22" s="41">
        <v>10</v>
      </c>
      <c r="C22" s="36">
        <v>53</v>
      </c>
      <c r="D22" s="35" t="s">
        <v>23</v>
      </c>
      <c r="G22" s="52"/>
      <c r="H22" s="52"/>
      <c r="I22" s="52"/>
      <c r="J22" s="52"/>
    </row>
    <row r="23">
      <c r="A23" s="35" t="s">
        <v>192</v>
      </c>
      <c r="B23" s="41">
        <v>180</v>
      </c>
      <c r="C23" s="36">
        <v>17</v>
      </c>
      <c r="D23" s="35" t="s">
        <v>23</v>
      </c>
      <c r="G23" s="52"/>
      <c r="H23" s="52"/>
      <c r="I23" s="52"/>
      <c r="J23" s="52"/>
    </row>
    <row r="24">
      <c r="A24" s="35" t="s">
        <v>191</v>
      </c>
      <c r="B24" s="41">
        <v>200</v>
      </c>
      <c r="C24" s="36">
        <v>27</v>
      </c>
      <c r="D24" s="35" t="s">
        <v>172</v>
      </c>
      <c r="G24" s="52"/>
      <c r="H24" s="52"/>
      <c r="I24" s="52"/>
      <c r="J24" s="52"/>
    </row>
    <row r="25">
      <c r="A25" s="35" t="s">
        <v>189</v>
      </c>
      <c r="B25" s="41">
        <v>95</v>
      </c>
      <c r="C25" s="36">
        <v>33</v>
      </c>
      <c r="D25" s="35" t="s">
        <v>172</v>
      </c>
      <c r="G25" s="52"/>
      <c r="H25" s="52"/>
      <c r="I25" s="52"/>
      <c r="J25" s="52"/>
    </row>
    <row r="26">
      <c r="A26" s="35" t="s">
        <v>187</v>
      </c>
      <c r="B26" s="41">
        <v>23</v>
      </c>
      <c r="C26" s="36">
        <v>7</v>
      </c>
      <c r="D26" s="35" t="s">
        <v>23</v>
      </c>
      <c r="G26" s="52"/>
      <c r="H26" s="52"/>
      <c r="I26" s="52"/>
      <c r="J26" s="52"/>
    </row>
    <row r="27">
      <c r="A27" s="35" t="s">
        <v>185</v>
      </c>
      <c r="B27" s="41">
        <v>16</v>
      </c>
      <c r="C27" s="36">
        <v>14</v>
      </c>
      <c r="D27" s="35" t="s">
        <v>23</v>
      </c>
      <c r="G27" s="52"/>
      <c r="H27" s="52"/>
      <c r="I27" s="52"/>
      <c r="J27" s="52"/>
    </row>
    <row r="28">
      <c r="A28" s="35" t="s">
        <v>183</v>
      </c>
      <c r="B28" s="53">
        <v>0</v>
      </c>
      <c r="C28" s="36">
        <v>22</v>
      </c>
      <c r="D28" s="35" t="s">
        <v>172</v>
      </c>
      <c r="G28" s="52"/>
      <c r="H28" s="52"/>
      <c r="I28" s="52"/>
      <c r="J28" s="52"/>
    </row>
    <row r="29">
      <c r="A29" s="35" t="s">
        <v>182</v>
      </c>
      <c r="B29" s="41">
        <v>34</v>
      </c>
      <c r="C29" s="36">
        <v>30</v>
      </c>
      <c r="D29" s="35" t="s">
        <v>172</v>
      </c>
      <c r="G29" s="52"/>
      <c r="H29" s="52"/>
      <c r="I29" s="52"/>
      <c r="J29" s="52"/>
    </row>
    <row r="30">
      <c r="A30" s="35" t="s">
        <v>181</v>
      </c>
      <c r="B30" s="41">
        <v>19</v>
      </c>
      <c r="C30" s="36">
        <v>31</v>
      </c>
      <c r="D30" s="35" t="s">
        <v>172</v>
      </c>
      <c r="G30" s="52"/>
      <c r="H30" s="52"/>
      <c r="I30" s="52"/>
      <c r="J30" s="52"/>
    </row>
    <row r="31">
      <c r="A31" s="35" t="s">
        <v>179</v>
      </c>
      <c r="B31" s="41">
        <v>87</v>
      </c>
      <c r="C31" s="36">
        <v>38</v>
      </c>
      <c r="D31" s="35" t="s">
        <v>172</v>
      </c>
      <c r="G31" s="52"/>
      <c r="H31" s="52"/>
      <c r="I31" s="52"/>
      <c r="J31" s="52"/>
    </row>
    <row r="32">
      <c r="A32" s="35" t="s">
        <v>67</v>
      </c>
      <c r="B32" s="53">
        <v>0</v>
      </c>
      <c r="C32" s="36">
        <v>3</v>
      </c>
      <c r="D32" s="35" t="s">
        <v>176</v>
      </c>
      <c r="G32" s="52"/>
      <c r="H32" s="52"/>
      <c r="I32" s="52"/>
      <c r="J32" s="52"/>
    </row>
    <row r="33">
      <c r="A33" s="35" t="s">
        <v>177</v>
      </c>
      <c r="B33" s="41">
        <v>19</v>
      </c>
      <c r="C33" s="36">
        <v>16</v>
      </c>
      <c r="D33" s="35" t="s">
        <v>23</v>
      </c>
      <c r="G33" s="52"/>
      <c r="H33" s="52"/>
      <c r="I33" s="52"/>
      <c r="J33" s="52"/>
    </row>
    <row r="34">
      <c r="A34" s="35" t="s">
        <v>174</v>
      </c>
      <c r="B34" s="41">
        <v>23</v>
      </c>
      <c r="C34" s="36">
        <v>26</v>
      </c>
      <c r="D34" s="35" t="s">
        <v>23</v>
      </c>
      <c r="G34" s="52"/>
      <c r="H34" s="52"/>
      <c r="I34" s="52"/>
      <c r="J34" s="52"/>
    </row>
    <row r="35">
      <c r="A35" s="35" t="s">
        <v>207</v>
      </c>
      <c r="B35" s="41">
        <v>2</v>
      </c>
      <c r="C35" s="36">
        <v>29</v>
      </c>
      <c r="D35" s="35" t="s">
        <v>172</v>
      </c>
      <c r="G35" s="52"/>
      <c r="H35" s="52"/>
      <c r="I35" s="52"/>
      <c r="J35" s="52"/>
    </row>
    <row r="36">
      <c r="A36" s="35" t="s">
        <v>201</v>
      </c>
      <c r="B36" s="41">
        <v>89</v>
      </c>
      <c r="C36" s="36">
        <v>35</v>
      </c>
      <c r="D36" s="35" t="s">
        <v>172</v>
      </c>
      <c r="G36" s="52"/>
      <c r="H36" s="52"/>
      <c r="I36" s="52"/>
      <c r="J36" s="52"/>
    </row>
    <row r="37">
      <c r="A37" s="35" t="s">
        <v>199</v>
      </c>
      <c r="B37" s="41">
        <v>169</v>
      </c>
      <c r="C37" s="36">
        <v>46</v>
      </c>
      <c r="D37" s="35" t="s">
        <v>172</v>
      </c>
      <c r="G37" s="52"/>
      <c r="H37" s="52"/>
      <c r="I37" s="52"/>
      <c r="J37" s="52"/>
    </row>
    <row r="38">
      <c r="A38" s="35" t="s">
        <v>196</v>
      </c>
      <c r="B38" s="41">
        <v>92</v>
      </c>
      <c r="C38" s="36">
        <v>48</v>
      </c>
      <c r="D38" s="35" t="s">
        <v>23</v>
      </c>
      <c r="G38" s="52"/>
      <c r="H38" s="52"/>
      <c r="I38" s="52"/>
      <c r="J38" s="52"/>
    </row>
    <row r="39">
      <c r="G39" s="52"/>
      <c r="H39" s="52"/>
      <c r="I39" s="52"/>
      <c r="J39" s="52"/>
    </row>
    <row r="40">
      <c r="G40" s="52"/>
      <c r="H40" s="52"/>
      <c r="I40" s="52"/>
      <c r="J40" s="52"/>
    </row>
    <row r="41">
      <c r="G41" s="52"/>
      <c r="H41" s="52"/>
      <c r="I41" s="52"/>
      <c r="J41" s="52"/>
    </row>
    <row r="42">
      <c r="G42" s="52"/>
      <c r="H42" s="52"/>
      <c r="I42" s="52"/>
      <c r="J42" s="52"/>
    </row>
    <row r="43">
      <c r="G43" s="52"/>
      <c r="H43" s="52"/>
      <c r="I43" s="52"/>
      <c r="J43" s="52"/>
    </row>
    <row r="44">
      <c r="G44" s="52"/>
      <c r="H44" s="52"/>
      <c r="I44" s="52"/>
      <c r="J44" s="52"/>
    </row>
    <row r="45">
      <c r="G45" s="52"/>
      <c r="H45" s="52"/>
      <c r="I45" s="52"/>
      <c r="J45" s="52"/>
    </row>
    <row r="46">
      <c r="G46" s="52"/>
      <c r="H46" s="52"/>
      <c r="I46" s="52"/>
      <c r="J46" s="52"/>
    </row>
    <row r="47">
      <c r="G47" s="52"/>
      <c r="H47" s="52"/>
      <c r="I47" s="52"/>
      <c r="J47" s="52"/>
    </row>
    <row r="48">
      <c r="G48" s="52"/>
      <c r="H48" s="52"/>
      <c r="I48" s="52"/>
      <c r="J48" s="52"/>
    </row>
    <row r="49">
      <c r="G49" s="52"/>
      <c r="H49" s="52"/>
      <c r="I49" s="52"/>
      <c r="J49" s="52"/>
    </row>
    <row r="50">
      <c r="G50" s="52"/>
      <c r="H50" s="52"/>
      <c r="I50" s="52"/>
      <c r="J50" s="52"/>
    </row>
    <row r="51">
      <c r="G51" s="52"/>
      <c r="H51" s="52"/>
      <c r="I51" s="52"/>
      <c r="J51" s="52"/>
    </row>
    <row r="52">
      <c r="G52" s="52"/>
      <c r="H52" s="52"/>
      <c r="I52" s="52"/>
      <c r="J52" s="52"/>
    </row>
    <row r="53">
      <c r="G53" s="52"/>
      <c r="H53" s="52"/>
      <c r="I53" s="52"/>
      <c r="J53" s="52"/>
    </row>
    <row r="54">
      <c r="G54" s="52"/>
      <c r="H54" s="52"/>
      <c r="I54" s="52"/>
      <c r="J54" s="52"/>
    </row>
    <row r="55">
      <c r="G55" s="52"/>
      <c r="H55" s="52"/>
      <c r="I55" s="52"/>
      <c r="J55" s="52"/>
    </row>
    <row r="56">
      <c r="G56" s="52"/>
      <c r="H56" s="52"/>
      <c r="I56" s="52"/>
      <c r="J56" s="52"/>
    </row>
    <row r="57">
      <c r="G57" s="52"/>
      <c r="H57" s="52"/>
      <c r="I57" s="52"/>
      <c r="J57" s="52"/>
    </row>
    <row r="58">
      <c r="G58" s="52"/>
      <c r="H58" s="52"/>
      <c r="I58" s="52"/>
      <c r="J58" s="52"/>
    </row>
    <row r="59">
      <c r="G59" s="52"/>
      <c r="H59" s="52"/>
      <c r="I59" s="52"/>
      <c r="J59" s="52"/>
    </row>
    <row r="60">
      <c r="G60" s="52"/>
      <c r="H60" s="52"/>
      <c r="I60" s="52"/>
      <c r="J60" s="52"/>
    </row>
    <row r="61">
      <c r="G61" s="52"/>
      <c r="H61" s="52"/>
      <c r="I61" s="52"/>
      <c r="J61" s="52"/>
    </row>
    <row r="62">
      <c r="G62" s="52"/>
      <c r="H62" s="52"/>
      <c r="I62" s="52"/>
      <c r="J62" s="52"/>
    </row>
    <row r="63">
      <c r="G63" s="52"/>
      <c r="H63" s="52"/>
      <c r="I63" s="52"/>
      <c r="J63" s="52"/>
    </row>
    <row r="64">
      <c r="G64" s="52"/>
      <c r="H64" s="52"/>
      <c r="I64" s="52"/>
      <c r="J64" s="52"/>
    </row>
    <row r="65">
      <c r="G65" s="52"/>
      <c r="H65" s="52"/>
      <c r="I65" s="52"/>
      <c r="J65" s="52"/>
    </row>
  </sheetData>
  <mergeCells>
    <mergeCell ref="A1:D1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</cols>
  <sheetData>
    <row r="1"/>
    <row r="2"/>
    <row r="3">
      <c r="B3" s="54" t="str">
        <v>套餐用户首月解读次数</v>
      </c>
      <c r="C3" s="54"/>
      <c r="D3" s="54"/>
    </row>
    <row r="4">
      <c r="N4" s="58"/>
    </row>
    <row customHeight="true" ht="33" r="5">
      <c r="B5" s="56" t="s">
        <v>208</v>
      </c>
      <c r="C5" s="55" t="s">
        <v>9</v>
      </c>
      <c r="D5" s="55" t="s">
        <v>6</v>
      </c>
      <c r="E5" s="55" t="s">
        <v>10</v>
      </c>
      <c r="F5" s="55" t="s">
        <v>7</v>
      </c>
      <c r="G5" s="55" t="s">
        <v>11</v>
      </c>
      <c r="H5" s="55" t="s">
        <v>1</v>
      </c>
      <c r="I5" s="55" t="s">
        <v>8</v>
      </c>
      <c r="J5" s="25"/>
    </row>
    <row r="6">
      <c r="B6" s="57" t="str">
        <v>男</v>
      </c>
      <c r="C6" s="34">
        <v>217</v>
      </c>
      <c r="D6" s="34">
        <v>282</v>
      </c>
      <c r="E6" s="34">
        <v>1312</v>
      </c>
      <c r="F6" s="34">
        <v>2014</v>
      </c>
      <c r="G6" s="34">
        <v>1806</v>
      </c>
      <c r="H6" s="34">
        <v>429</v>
      </c>
      <c r="I6" s="34">
        <v>65</v>
      </c>
    </row>
    <row r="7">
      <c r="B7" s="57" t="str">
        <v>女</v>
      </c>
      <c r="C7" s="34">
        <v>17</v>
      </c>
      <c r="D7" s="34">
        <v>38</v>
      </c>
      <c r="E7" s="34">
        <v>133</v>
      </c>
      <c r="F7" s="34">
        <v>199</v>
      </c>
      <c r="G7" s="34">
        <v>204</v>
      </c>
      <c r="H7" s="34">
        <v>73</v>
      </c>
      <c r="I7" s="34">
        <v>9</v>
      </c>
    </row>
    <row r="8">
      <c r="B8" s="25" t="str">
        <v>平均</v>
      </c>
      <c r="C8" s="25">
        <v>485</v>
      </c>
      <c r="D8" s="25">
        <v>485</v>
      </c>
      <c r="E8" s="25">
        <v>485</v>
      </c>
      <c r="F8" s="25">
        <v>485</v>
      </c>
      <c r="G8" s="25">
        <v>485</v>
      </c>
      <c r="H8" s="25">
        <v>485</v>
      </c>
      <c r="I8" s="25">
        <v>485</v>
      </c>
      <c r="L8" s="59" t="str">
        <v>图片是旧图片</v>
      </c>
    </row>
    <row r="9">
      <c r="B9" s="25" t="str">
        <v>未设置性别</v>
      </c>
      <c r="C9" s="25">
        <v>273</v>
      </c>
      <c r="D9" s="25">
        <v>240</v>
      </c>
      <c r="E9" s="25">
        <v>289</v>
      </c>
      <c r="F9" s="25">
        <v>338</v>
      </c>
      <c r="G9" s="25">
        <v>401</v>
      </c>
      <c r="H9" s="25">
        <v>174</v>
      </c>
      <c r="I9" s="25">
        <v>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C24" s="34">
        <v>35</v>
      </c>
      <c r="D24" s="34">
        <v>49</v>
      </c>
      <c r="E24" s="34">
        <v>245</v>
      </c>
      <c r="F24" s="34">
        <v>468</v>
      </c>
      <c r="G24" s="34">
        <v>451</v>
      </c>
      <c r="H24" s="34">
        <v>131</v>
      </c>
      <c r="I24" s="34">
        <v>18</v>
      </c>
    </row>
    <row r="25">
      <c r="C25" s="34">
        <v>0</v>
      </c>
      <c r="D25" s="34">
        <v>5</v>
      </c>
      <c r="E25" s="34">
        <v>25</v>
      </c>
      <c r="F25" s="34">
        <v>46</v>
      </c>
      <c r="G25" s="34">
        <v>31</v>
      </c>
      <c r="H25" s="34">
        <v>14</v>
      </c>
      <c r="I25" s="34">
        <v>0</v>
      </c>
    </row>
    <row r="26"/>
    <row r="27">
      <c r="C27" s="25">
        <v>55</v>
      </c>
      <c r="D27" s="25">
        <v>38</v>
      </c>
      <c r="E27" s="25">
        <v>63</v>
      </c>
      <c r="F27" s="25">
        <v>58</v>
      </c>
      <c r="G27" s="25">
        <v>73</v>
      </c>
      <c r="H27" s="25">
        <v>52</v>
      </c>
      <c r="I27" s="25">
        <v>6</v>
      </c>
    </row>
  </sheetData>
  <mergeCells>
    <mergeCell ref="B3:D3"/>
  </mergeCells>
  <drawing r:id="rId1"/>
  <picture r:id="rId2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24"/>
    <col collapsed="false" customWidth="true" hidden="false" max="7" min="7" style="0" width="29"/>
    <col collapsed="false" customWidth="true" hidden="false" max="8" min="8" style="0" width="27"/>
  </cols>
  <sheetData>
    <row r="1">
      <c r="A1" s="54" t="str">
        <v>套餐用户使用套餐解读次数分布</v>
      </c>
      <c r="B1" s="54"/>
      <c r="C1" s="54"/>
      <c r="D1" s="54"/>
      <c r="G1" s="60" t="str">
        <v>套餐用户使用解读次数</v>
      </c>
      <c r="H1" s="60"/>
    </row>
    <row r="2">
      <c r="A2" s="41" t="s">
        <v>216</v>
      </c>
      <c r="B2" s="41" t="s">
        <v>217</v>
      </c>
      <c r="C2" s="41" t="s">
        <v>218</v>
      </c>
      <c r="D2" s="41" t="s">
        <v>219</v>
      </c>
      <c r="G2" s="41" t="s">
        <v>214</v>
      </c>
      <c r="H2" s="41" t="s">
        <v>215</v>
      </c>
    </row>
    <row r="3">
      <c r="A3" s="35" t="s">
        <v>222</v>
      </c>
      <c r="B3" s="35" t="s">
        <v>234</v>
      </c>
      <c r="C3" s="36">
        <v>4672</v>
      </c>
      <c r="D3" s="37">
        <f>C3/C14</f>
      </c>
      <c r="G3" s="35" t="s">
        <v>233</v>
      </c>
      <c r="H3" s="36">
        <v>6420</v>
      </c>
    </row>
    <row r="4">
      <c r="A4" s="35" t="s">
        <v>221</v>
      </c>
      <c r="B4" s="35" t="s">
        <v>222</v>
      </c>
      <c r="C4" s="36">
        <v>1968</v>
      </c>
      <c r="D4" s="37">
        <f>C4/C14</f>
      </c>
      <c r="G4" s="35" t="s">
        <v>220</v>
      </c>
      <c r="H4" s="36">
        <v>5646</v>
      </c>
    </row>
    <row r="5">
      <c r="A5" s="35" t="s">
        <v>224</v>
      </c>
      <c r="B5" s="35" t="s">
        <v>221</v>
      </c>
      <c r="C5" s="36">
        <v>1331</v>
      </c>
      <c r="D5" s="37">
        <f>C5/C14</f>
      </c>
      <c r="G5" s="35" t="s">
        <v>223</v>
      </c>
      <c r="H5" s="36">
        <v>5595</v>
      </c>
    </row>
    <row r="6">
      <c r="A6" s="35" t="s">
        <v>226</v>
      </c>
      <c r="B6" s="35" t="s">
        <v>224</v>
      </c>
      <c r="C6" s="36">
        <v>922</v>
      </c>
      <c r="D6" s="37">
        <f>C6/C14</f>
      </c>
      <c r="G6" s="35" t="s">
        <v>235</v>
      </c>
      <c r="H6" s="36">
        <v>5544</v>
      </c>
    </row>
    <row r="7">
      <c r="A7" s="35" t="s">
        <v>225</v>
      </c>
      <c r="B7" s="35" t="s">
        <v>226</v>
      </c>
      <c r="C7" s="36">
        <v>756</v>
      </c>
      <c r="D7" s="37">
        <f>C7/C14</f>
      </c>
      <c r="G7" s="35" t="s">
        <v>227</v>
      </c>
      <c r="H7" s="36">
        <v>5111</v>
      </c>
    </row>
    <row r="8">
      <c r="A8" s="35" t="s">
        <v>229</v>
      </c>
      <c r="B8" s="35" t="s">
        <v>225</v>
      </c>
      <c r="C8" s="36">
        <v>604</v>
      </c>
      <c r="D8" s="37">
        <f>C8/C14</f>
      </c>
      <c r="G8" s="35" t="s">
        <v>228</v>
      </c>
      <c r="H8" s="36">
        <v>4991</v>
      </c>
    </row>
    <row r="9">
      <c r="A9" s="35" t="s">
        <v>231</v>
      </c>
      <c r="B9" s="35" t="s">
        <v>232</v>
      </c>
      <c r="C9" s="36">
        <v>1930</v>
      </c>
      <c r="D9" s="37">
        <f>C9/C14</f>
      </c>
      <c r="G9" s="35" t="s">
        <v>230</v>
      </c>
      <c r="H9" s="36">
        <v>4597</v>
      </c>
    </row>
    <row r="10">
      <c r="A10" s="35" t="s">
        <v>236</v>
      </c>
      <c r="B10" s="35" t="s">
        <v>237</v>
      </c>
      <c r="C10" s="36">
        <v>1809</v>
      </c>
      <c r="D10" s="37">
        <f>C10/C14</f>
      </c>
      <c r="G10" s="35" t="s">
        <v>238</v>
      </c>
      <c r="H10" s="36">
        <v>4353</v>
      </c>
    </row>
    <row r="11">
      <c r="A11" s="35" t="s">
        <v>209</v>
      </c>
      <c r="B11" s="35" t="s">
        <v>210</v>
      </c>
      <c r="C11" s="36">
        <v>1941</v>
      </c>
      <c r="D11" s="37">
        <f>C11/C14</f>
      </c>
      <c r="G11" s="35" t="s">
        <v>211</v>
      </c>
      <c r="H11" s="36">
        <v>4122</v>
      </c>
    </row>
    <row r="12">
      <c r="A12" s="35" t="s">
        <v>239</v>
      </c>
      <c r="B12" s="35" t="s">
        <v>240</v>
      </c>
      <c r="C12" s="36">
        <v>1029</v>
      </c>
      <c r="D12" s="37">
        <f>C12/C14</f>
      </c>
      <c r="G12" s="35" t="s">
        <v>241</v>
      </c>
      <c r="H12" s="36">
        <v>4108</v>
      </c>
    </row>
    <row r="13">
      <c r="A13" s="35" t="s">
        <v>213</v>
      </c>
      <c r="B13" s="35" t="s">
        <v>212</v>
      </c>
      <c r="C13" s="36">
        <v>1564</v>
      </c>
      <c r="D13" s="37">
        <f>C13/C14</f>
      </c>
    </row>
    <row r="14">
      <c r="A14" s="25" t="str">
        <v>共</v>
      </c>
      <c r="C14">
        <f>SUM(C3,C4,C5,C6,C7,C8,C9,C10,C11,C12,C13)</f>
      </c>
      <c r="D14" s="25" t="str">
        <v>复购</v>
      </c>
    </row>
  </sheetData>
  <mergeCells>
    <mergeCell ref="A1:D1"/>
    <mergeCell ref="G1:H1"/>
  </mergeCells>
  <drawing r:id="rId1"/>
  <picture r:id="rId2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15"/>
    <col collapsed="false" customWidth="true" hidden="false" max="7" min="7" style="0" width="10"/>
    <col collapsed="false" customWidth="true" hidden="false" max="8" min="8" style="0" width="23"/>
    <col collapsed="false" customWidth="true" hidden="false" max="9" min="9" style="0" width="10"/>
    <col collapsed="false" customWidth="true" hidden="false" max="10" min="10" style="0" width="14"/>
  </cols>
  <sheetData>
    <row r="1">
      <c r="A1" s="54" t="str">
        <v>
套餐用户异常解读类型占比（334,401）</v>
      </c>
      <c r="B1" s="54"/>
      <c r="C1" s="54"/>
      <c r="D1" s="54"/>
      <c r="G1" s="62" t="str">
        <v>
套餐异常用户类型占比（27,517）</v>
      </c>
      <c r="H1" s="62"/>
      <c r="I1" s="62"/>
      <c r="J1" s="62"/>
    </row>
    <row r="2">
      <c r="A2" s="41" t="s">
        <v>253</v>
      </c>
      <c r="B2" s="41" t="s">
        <v>251</v>
      </c>
      <c r="C2" s="41" t="s">
        <v>254</v>
      </c>
      <c r="D2" s="41" t="s">
        <v>250</v>
      </c>
      <c r="G2" s="35" t="s">
        <v>253</v>
      </c>
      <c r="H2" s="35" t="s">
        <v>251</v>
      </c>
      <c r="I2" s="35" t="s">
        <v>252</v>
      </c>
      <c r="J2" s="35" t="s">
        <v>250</v>
      </c>
    </row>
    <row r="3">
      <c r="A3" s="35" t="s">
        <v>131</v>
      </c>
      <c r="B3" s="35" t="s">
        <v>242</v>
      </c>
      <c r="C3" s="36">
        <v>80906</v>
      </c>
      <c r="D3" s="42">
        <v>0.2419</v>
      </c>
      <c r="G3" s="35" t="s">
        <v>131</v>
      </c>
      <c r="H3" s="35" t="s">
        <v>243</v>
      </c>
      <c r="I3" s="36">
        <v>2443</v>
      </c>
      <c r="J3" s="42">
        <v>0.0888</v>
      </c>
    </row>
    <row r="4">
      <c r="A4" s="35" t="s">
        <v>141</v>
      </c>
      <c r="B4" s="35" t="s">
        <v>266</v>
      </c>
      <c r="C4" s="36">
        <v>12932</v>
      </c>
      <c r="D4" s="42">
        <v>0.0387</v>
      </c>
      <c r="G4" s="35" t="s">
        <v>141</v>
      </c>
      <c r="H4" s="35" t="s">
        <v>242</v>
      </c>
      <c r="I4" s="36">
        <v>4112</v>
      </c>
      <c r="J4" s="42">
        <v>0.1494</v>
      </c>
    </row>
    <row r="5">
      <c r="A5" s="35" t="s">
        <v>143</v>
      </c>
      <c r="B5" s="35" t="s">
        <v>260</v>
      </c>
      <c r="C5" s="36">
        <v>15695</v>
      </c>
      <c r="D5" s="42">
        <v>0.0469</v>
      </c>
      <c r="G5" s="35" t="s">
        <v>143</v>
      </c>
      <c r="H5" s="35" t="s">
        <v>260</v>
      </c>
      <c r="I5" s="36">
        <v>1776</v>
      </c>
      <c r="J5" s="42">
        <v>0.0645</v>
      </c>
    </row>
    <row r="6">
      <c r="A6" s="35" t="s">
        <v>105</v>
      </c>
      <c r="B6" s="35" t="s">
        <v>245</v>
      </c>
      <c r="C6" s="36">
        <v>31605</v>
      </c>
      <c r="D6" s="42">
        <v>0.0945</v>
      </c>
      <c r="G6" s="35" t="s">
        <v>105</v>
      </c>
      <c r="H6" s="35" t="s">
        <v>139</v>
      </c>
      <c r="I6" s="36">
        <v>2383</v>
      </c>
      <c r="J6" s="42">
        <v>0.0866</v>
      </c>
    </row>
    <row r="7">
      <c r="A7" s="35" t="s">
        <v>123</v>
      </c>
      <c r="B7" s="35" t="s">
        <v>244</v>
      </c>
      <c r="C7" s="36">
        <v>30355</v>
      </c>
      <c r="D7" s="42">
        <v>0.0907</v>
      </c>
      <c r="G7" s="35" t="s">
        <v>123</v>
      </c>
      <c r="H7" s="35" t="s">
        <v>245</v>
      </c>
      <c r="I7" s="36">
        <v>2509</v>
      </c>
      <c r="J7" s="42">
        <v>0.0912</v>
      </c>
    </row>
    <row r="8">
      <c r="A8" s="35" t="s">
        <v>133</v>
      </c>
      <c r="B8" s="35" t="s">
        <v>268</v>
      </c>
      <c r="C8" s="36">
        <v>29068</v>
      </c>
      <c r="D8" s="42">
        <v>0.0869</v>
      </c>
      <c r="G8" s="35" t="s">
        <v>133</v>
      </c>
      <c r="H8" s="35" t="s">
        <v>267</v>
      </c>
      <c r="I8" s="36">
        <v>2656</v>
      </c>
      <c r="J8" s="42">
        <v>0.0965</v>
      </c>
    </row>
    <row r="9">
      <c r="A9" s="35" t="s">
        <v>145</v>
      </c>
      <c r="B9" s="35" t="s">
        <v>261</v>
      </c>
      <c r="C9" s="36">
        <v>32218</v>
      </c>
      <c r="D9" s="42">
        <v>0.0963</v>
      </c>
      <c r="G9" s="35" t="s">
        <v>145</v>
      </c>
      <c r="H9" s="35" t="s">
        <v>261</v>
      </c>
      <c r="I9" s="36">
        <v>2440</v>
      </c>
      <c r="J9" s="42">
        <v>0.0887</v>
      </c>
    </row>
    <row r="10">
      <c r="A10" s="35" t="s">
        <v>108</v>
      </c>
      <c r="B10" s="35" t="s">
        <v>255</v>
      </c>
      <c r="C10" s="36">
        <v>15566</v>
      </c>
      <c r="D10" s="42">
        <v>0.0465</v>
      </c>
      <c r="G10" s="35" t="s">
        <v>108</v>
      </c>
      <c r="H10" s="35" t="s">
        <v>244</v>
      </c>
      <c r="I10" s="36">
        <v>1285</v>
      </c>
      <c r="J10" s="42">
        <v>0.0467</v>
      </c>
    </row>
    <row r="11">
      <c r="A11" s="35" t="s">
        <v>126</v>
      </c>
      <c r="B11" s="35" t="s">
        <v>247</v>
      </c>
      <c r="C11" s="36">
        <v>19093</v>
      </c>
      <c r="D11" s="42">
        <v>0.0571</v>
      </c>
      <c r="G11" s="35" t="s">
        <v>126</v>
      </c>
      <c r="H11" s="35" t="s">
        <v>246</v>
      </c>
      <c r="I11" s="36">
        <v>697</v>
      </c>
      <c r="J11" s="42">
        <v>0.0253</v>
      </c>
    </row>
    <row r="12">
      <c r="A12" s="35" t="s">
        <v>135</v>
      </c>
      <c r="B12" s="35" t="s">
        <v>267</v>
      </c>
      <c r="C12" s="36">
        <v>24344</v>
      </c>
      <c r="D12" s="42">
        <v>0.0728</v>
      </c>
      <c r="G12" s="35" t="s">
        <v>135</v>
      </c>
      <c r="H12" s="35" t="s">
        <v>262</v>
      </c>
      <c r="I12" s="36">
        <v>2130</v>
      </c>
      <c r="J12" s="42">
        <v>0.0774</v>
      </c>
    </row>
    <row r="13">
      <c r="A13" s="35" t="s">
        <v>147</v>
      </c>
      <c r="B13" s="35" t="s">
        <v>262</v>
      </c>
      <c r="C13" s="36">
        <v>12112</v>
      </c>
      <c r="D13" s="42">
        <v>0.0362</v>
      </c>
      <c r="G13" s="35" t="s">
        <v>147</v>
      </c>
      <c r="H13" s="35" t="s">
        <v>263</v>
      </c>
      <c r="I13" s="36">
        <v>1335</v>
      </c>
      <c r="J13" s="42">
        <v>0.0485</v>
      </c>
    </row>
    <row r="14">
      <c r="A14" s="35" t="s">
        <v>109</v>
      </c>
      <c r="B14" s="35" t="s">
        <v>256</v>
      </c>
      <c r="C14" s="36">
        <v>16223</v>
      </c>
      <c r="D14" s="42">
        <v>0.0485</v>
      </c>
      <c r="G14" s="35" t="s">
        <v>109</v>
      </c>
      <c r="H14" s="35" t="s">
        <v>256</v>
      </c>
      <c r="I14" s="36">
        <v>787</v>
      </c>
      <c r="J14" s="42">
        <v>0.0286</v>
      </c>
    </row>
    <row r="15">
      <c r="A15" s="35" t="s">
        <v>127</v>
      </c>
      <c r="B15" s="35" t="s">
        <v>246</v>
      </c>
      <c r="C15" s="36">
        <v>3254</v>
      </c>
      <c r="D15" s="42">
        <v>0.0097</v>
      </c>
      <c r="G15" s="35" t="s">
        <v>127</v>
      </c>
      <c r="H15" s="35" t="s">
        <v>247</v>
      </c>
      <c r="I15" s="36">
        <v>807</v>
      </c>
      <c r="J15" s="42">
        <v>0.0293</v>
      </c>
    </row>
    <row r="16">
      <c r="A16" s="35" t="s">
        <v>137</v>
      </c>
      <c r="B16" s="35" t="s">
        <v>270</v>
      </c>
      <c r="C16" s="36">
        <v>506</v>
      </c>
      <c r="D16" s="42">
        <v>0.0015</v>
      </c>
      <c r="G16" s="35" t="s">
        <v>137</v>
      </c>
      <c r="H16" s="35" t="s">
        <v>269</v>
      </c>
      <c r="I16" s="36">
        <v>203</v>
      </c>
      <c r="J16" s="42">
        <v>0.0074</v>
      </c>
    </row>
    <row r="17">
      <c r="A17" s="35" t="s">
        <v>150</v>
      </c>
      <c r="B17" s="35" t="s">
        <v>264</v>
      </c>
      <c r="C17" s="36">
        <v>2615</v>
      </c>
      <c r="D17" s="42">
        <v>0.0078</v>
      </c>
      <c r="G17" s="35" t="s">
        <v>150</v>
      </c>
      <c r="H17" s="35" t="s">
        <v>264</v>
      </c>
      <c r="I17" s="36">
        <v>429</v>
      </c>
      <c r="J17" s="42">
        <v>0.0156</v>
      </c>
    </row>
    <row r="18">
      <c r="A18" s="35" t="s">
        <v>111</v>
      </c>
      <c r="B18" s="35" t="s">
        <v>257</v>
      </c>
      <c r="C18" s="36">
        <v>3070</v>
      </c>
      <c r="D18" s="42">
        <v>0.0092</v>
      </c>
      <c r="G18" s="35" t="s">
        <v>111</v>
      </c>
      <c r="H18" s="35" t="s">
        <v>257</v>
      </c>
      <c r="I18" s="36">
        <v>489</v>
      </c>
      <c r="J18" s="42">
        <v>0.0178</v>
      </c>
    </row>
    <row r="19">
      <c r="A19" s="35" t="s">
        <v>129</v>
      </c>
      <c r="B19" s="35" t="s">
        <v>249</v>
      </c>
      <c r="C19" s="36">
        <v>280</v>
      </c>
      <c r="D19" s="42">
        <v>0.0008</v>
      </c>
      <c r="G19" s="35" t="s">
        <v>129</v>
      </c>
      <c r="H19" s="35" t="s">
        <v>248</v>
      </c>
      <c r="I19" s="36">
        <v>346</v>
      </c>
      <c r="J19" s="42">
        <v>0.0126</v>
      </c>
    </row>
    <row r="20">
      <c r="A20" s="35" t="s">
        <v>140</v>
      </c>
      <c r="B20" s="35" t="s">
        <v>271</v>
      </c>
      <c r="C20" s="36">
        <v>2923</v>
      </c>
      <c r="D20" s="42">
        <v>0.0087</v>
      </c>
      <c r="G20" s="35" t="s">
        <v>140</v>
      </c>
      <c r="H20" s="35" t="s">
        <v>258</v>
      </c>
      <c r="I20" s="36">
        <v>239</v>
      </c>
      <c r="J20" s="42">
        <v>0.0087</v>
      </c>
    </row>
    <row r="21">
      <c r="A21" s="35" t="s">
        <v>151</v>
      </c>
      <c r="B21" s="35" t="s">
        <v>259</v>
      </c>
      <c r="C21" s="36">
        <v>636</v>
      </c>
      <c r="D21" s="42">
        <v>0.0019</v>
      </c>
      <c r="G21" s="35" t="s">
        <v>151</v>
      </c>
      <c r="H21" s="35" t="s">
        <v>265</v>
      </c>
      <c r="I21" s="36">
        <v>299</v>
      </c>
      <c r="J21" s="42">
        <v>0.0109</v>
      </c>
    </row>
    <row r="22">
      <c r="A22" s="35" t="s">
        <v>113</v>
      </c>
      <c r="B22" s="35" t="s">
        <v>258</v>
      </c>
      <c r="C22" s="36">
        <v>1000</v>
      </c>
      <c r="D22" s="42">
        <v>0.003</v>
      </c>
      <c r="G22" s="35" t="s">
        <v>113</v>
      </c>
      <c r="H22" s="35" t="s">
        <v>259</v>
      </c>
      <c r="I22" s="36">
        <v>152</v>
      </c>
      <c r="J22" s="42">
        <v>0.0055</v>
      </c>
    </row>
    <row r="23">
      <c r="C23" s="25">
        <f>SUM(C3:C22)</f>
      </c>
      <c r="D23" s="61"/>
      <c r="I23" s="61">
        <v>27517</v>
      </c>
    </row>
  </sheetData>
  <mergeCells>
    <mergeCell ref="A1:D1"/>
    <mergeCell ref="G1:J1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2"/>
    <col collapsed="false" customWidth="true" hidden="false" max="4" min="4" style="0" width="24"/>
    <col collapsed="false" customWidth="true" hidden="false" max="5" min="5" style="0" width="33"/>
  </cols>
  <sheetData>
    <row r="1"/>
    <row r="2">
      <c r="C2" s="35" t="str" xml:space="preserve">
        <v> 异常用户付费转化率 </v>
      </c>
      <c r="D2" s="35"/>
      <c r="E2" s="35"/>
    </row>
    <row r="3">
      <c r="C3" s="35" t="s">
        <v>76</v>
      </c>
      <c r="D3" s="35" t="s">
        <v>272</v>
      </c>
      <c r="E3" s="35" t="s">
        <v>273</v>
      </c>
    </row>
    <row r="4">
      <c r="C4" s="36">
        <v>86300</v>
      </c>
      <c r="D4" s="36">
        <v>28244</v>
      </c>
      <c r="E4" s="37">
        <f>D4/C4</f>
      </c>
    </row>
    <row r="5">
      <c r="C5" s="35" t="str" xml:space="preserve">
        <v>  </v>
      </c>
      <c r="D5" s="35"/>
      <c r="E5" s="35"/>
    </row>
    <row r="6">
      <c r="C6" s="35" t="s">
        <v>76</v>
      </c>
      <c r="D6" s="35" t="s">
        <v>275</v>
      </c>
      <c r="E6" s="35" t="s">
        <v>273</v>
      </c>
    </row>
    <row r="7">
      <c r="C7" s="36">
        <v>86300</v>
      </c>
      <c r="D7" s="36">
        <v>9685</v>
      </c>
      <c r="E7" s="37">
        <f>D7/C7</f>
      </c>
    </row>
    <row r="8">
      <c r="C8" s="35" t="str" xml:space="preserve">
        <v>  </v>
      </c>
      <c r="D8" s="35"/>
      <c r="E8" s="35"/>
    </row>
    <row r="9">
      <c r="C9" s="35" t="s">
        <v>76</v>
      </c>
      <c r="D9" s="35" t="s">
        <v>274</v>
      </c>
      <c r="E9" s="35" t="s">
        <v>273</v>
      </c>
    </row>
    <row r="10">
      <c r="C10" s="36">
        <v>86300</v>
      </c>
      <c r="D10" s="36">
        <v>18559</v>
      </c>
      <c r="E10" s="37">
        <f>D10/C10</f>
      </c>
    </row>
  </sheetData>
  <mergeCells>
    <mergeCell ref="C2:E2"/>
    <mergeCell ref="C5:E5"/>
    <mergeCell ref="C8:E8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0"/>
    <col collapsed="false" customWidth="true" hidden="false" max="3" min="3" style="0" width="22"/>
    <col collapsed="false" customWidth="true" hidden="false" max="4" min="4" style="0" width="19"/>
    <col collapsed="false" customWidth="true" hidden="false" max="6" min="6" style="0" width="20"/>
    <col collapsed="false" customWidth="true" hidden="false" max="7" min="7" style="0" width="22"/>
    <col collapsed="false" customWidth="true" hidden="false" max="8" min="8" style="0" width="19"/>
    <col collapsed="false" customWidth="true" hidden="false" max="9" min="9" style="0" width="21"/>
    <col collapsed="false" customWidth="true" hidden="false" max="10" min="10" style="0" width="22"/>
  </cols>
  <sheetData>
    <row r="1"/>
    <row r="2"/>
    <row r="3">
      <c r="B3" s="35" t="s">
        <v>284</v>
      </c>
      <c r="C3" s="35" t="s">
        <v>279</v>
      </c>
      <c r="D3" s="35" t="s">
        <v>280</v>
      </c>
      <c r="F3" s="35" t="s">
        <v>281</v>
      </c>
      <c r="G3" s="35" t="s">
        <v>277</v>
      </c>
      <c r="H3" s="35" t="s">
        <v>282</v>
      </c>
      <c r="I3" s="35" t="s">
        <v>278</v>
      </c>
      <c r="J3" s="35" t="s">
        <v>283</v>
      </c>
    </row>
    <row r="4">
      <c r="B4" s="35" t="s">
        <v>47</v>
      </c>
      <c r="C4" s="36">
        <v>136795</v>
      </c>
      <c r="D4" s="42">
        <v>0.522683</v>
      </c>
      <c r="F4" s="36">
        <v>1626802</v>
      </c>
      <c r="G4" s="36">
        <v>18369</v>
      </c>
      <c r="H4" s="42">
        <v>0.0112914</v>
      </c>
      <c r="I4" s="63">
        <v>1608322</v>
      </c>
      <c r="J4" s="64">
        <v>0.98864</v>
      </c>
    </row>
    <row r="5">
      <c r="B5" s="35" t="s">
        <v>57</v>
      </c>
      <c r="C5" s="36">
        <v>48881</v>
      </c>
      <c r="D5" s="42">
        <v>0.18677</v>
      </c>
    </row>
    <row r="6">
      <c r="B6" s="35" t="s">
        <v>68</v>
      </c>
      <c r="C6" s="36">
        <v>22783</v>
      </c>
      <c r="D6" s="42">
        <v>0.087052</v>
      </c>
      <c r="F6" s="35" t="s">
        <v>285</v>
      </c>
      <c r="G6" s="35" t="s">
        <v>288</v>
      </c>
      <c r="H6" s="35" t="s">
        <v>286</v>
      </c>
      <c r="I6" s="35" t="s">
        <v>289</v>
      </c>
      <c r="J6" s="35" t="s">
        <v>287</v>
      </c>
    </row>
    <row r="7">
      <c r="B7" s="35" t="s">
        <v>36</v>
      </c>
      <c r="C7" s="36">
        <v>12252</v>
      </c>
      <c r="D7" s="42">
        <v>0.046814</v>
      </c>
      <c r="F7" s="36">
        <v>18498</v>
      </c>
      <c r="G7" s="65">
        <v>12475</v>
      </c>
      <c r="H7" s="36">
        <v>4813</v>
      </c>
      <c r="I7" s="36">
        <v>7662</v>
      </c>
      <c r="J7" s="65">
        <v>12475</v>
      </c>
    </row>
    <row r="8">
      <c r="B8" s="35" t="s">
        <v>49</v>
      </c>
      <c r="C8" s="36">
        <v>7569</v>
      </c>
      <c r="D8" s="42">
        <v>0.028921</v>
      </c>
      <c r="F8" s="35" t="str" xml:space="preserve">
        <v>  </v>
      </c>
      <c r="G8" s="42">
        <v>0.674397</v>
      </c>
      <c r="H8" s="42">
        <v>0.26019</v>
      </c>
      <c r="I8" s="42">
        <v>0.4142069</v>
      </c>
      <c r="J8" s="42">
        <v>0.674397</v>
      </c>
    </row>
    <row r="9">
      <c r="B9" s="35" t="s">
        <v>59</v>
      </c>
      <c r="C9" s="36">
        <v>18498</v>
      </c>
      <c r="D9" s="42">
        <v>0.070679</v>
      </c>
    </row>
    <row r="10">
      <c r="B10" s="66" t="s">
        <v>291</v>
      </c>
      <c r="C10" s="63">
        <v>261717</v>
      </c>
      <c r="D10" s="66" t="str" xml:space="preserve">
        <v>  </v>
      </c>
      <c r="F10" s="35" t="s">
        <v>292</v>
      </c>
      <c r="G10" s="35" t="s">
        <v>293</v>
      </c>
      <c r="H10" s="35" t="s">
        <v>290</v>
      </c>
    </row>
    <row r="11">
      <c r="B11" s="66"/>
      <c r="C11" s="67"/>
      <c r="D11" s="66"/>
      <c r="F11" s="36">
        <v>22062</v>
      </c>
      <c r="G11" s="36">
        <v>4813</v>
      </c>
      <c r="H11" s="42">
        <v>0.218157</v>
      </c>
    </row>
    <row r="12">
      <c r="F12" s="25"/>
    </row>
    <row r="13">
      <c r="B13" s="35" t="s">
        <v>276</v>
      </c>
      <c r="C13" s="35"/>
    </row>
    <row r="14">
      <c r="B14" s="35" t="s">
        <v>294</v>
      </c>
      <c r="C14" s="35" t="s">
        <v>295</v>
      </c>
    </row>
    <row r="15">
      <c r="B15" s="36" t="str">
        <v>1月</v>
      </c>
      <c r="C15" s="36">
        <v>4757.5484</v>
      </c>
    </row>
    <row r="16">
      <c r="B16" s="36" t="str" xml:space="preserve">
        <v> 2月</v>
      </c>
      <c r="C16" s="36">
        <v>5063.2857</v>
      </c>
    </row>
    <row r="17">
      <c r="B17" s="36" t="str">
        <v>3月</v>
      </c>
      <c r="C17" s="36">
        <v>5863.4194</v>
      </c>
    </row>
    <row r="18">
      <c r="B18" s="36" t="str">
        <v>4月</v>
      </c>
      <c r="C18" s="36">
        <v>5698.3333</v>
      </c>
    </row>
    <row r="19">
      <c r="B19" s="36" t="str">
        <v>5月</v>
      </c>
      <c r="C19" s="36">
        <v>5872.5484</v>
      </c>
    </row>
    <row r="20">
      <c r="B20" s="36" t="str">
        <v>6月</v>
      </c>
      <c r="C20" s="36">
        <v>5563.7667</v>
      </c>
    </row>
    <row r="21">
      <c r="B21" s="36" t="str">
        <v>7月</v>
      </c>
      <c r="C21" s="36">
        <v>4770.3871</v>
      </c>
    </row>
    <row r="22">
      <c r="B22" s="36" t="str">
        <v>8月</v>
      </c>
      <c r="C22" s="36">
        <v>4038.5806</v>
      </c>
    </row>
    <row r="23">
      <c r="B23" s="36" t="str">
        <v>9月</v>
      </c>
      <c r="C23" s="36">
        <v>1677.3667</v>
      </c>
    </row>
    <row r="24">
      <c r="B24" s="36" t="str">
        <v>10月</v>
      </c>
      <c r="C24" s="36">
        <v>1830.4839</v>
      </c>
    </row>
    <row r="25">
      <c r="B25" s="36" t="str">
        <v>11月</v>
      </c>
      <c r="C25" s="36">
        <v>2042.6</v>
      </c>
    </row>
    <row r="26">
      <c r="B26" s="36" t="str">
        <v>12月</v>
      </c>
      <c r="C26" s="36">
        <v>2698.0645</v>
      </c>
    </row>
  </sheetData>
  <mergeCells>
    <mergeCell ref="B13:C13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</cols>
  <sheetData>
    <row customHeight="true" ht="25" r="1">
      <c r="A1" s="35" t="s">
        <v>308</v>
      </c>
      <c r="B1" s="35" t="s">
        <v>309</v>
      </c>
      <c r="C1" s="35" t="s">
        <v>280</v>
      </c>
    </row>
    <row customHeight="true" ht="25" r="2">
      <c r="A2" s="70" t="s">
        <v>302</v>
      </c>
      <c r="B2" s="68">
        <v>14541</v>
      </c>
      <c r="C2" s="69">
        <v>0.009605</v>
      </c>
    </row>
    <row customHeight="true" ht="25" r="3">
      <c r="A3" s="70" t="s">
        <v>296</v>
      </c>
      <c r="B3" s="68">
        <v>2293</v>
      </c>
      <c r="C3" s="69">
        <v>0.001515</v>
      </c>
    </row>
    <row customHeight="true" ht="25" r="4">
      <c r="A4" s="70" t="s">
        <v>316</v>
      </c>
      <c r="B4" s="68">
        <v>1127</v>
      </c>
      <c r="C4" s="69">
        <v>0.000744</v>
      </c>
    </row>
    <row customHeight="true" ht="25" r="5">
      <c r="A5" s="70" t="s">
        <v>310</v>
      </c>
      <c r="B5" s="68">
        <v>76</v>
      </c>
      <c r="C5" s="69">
        <v>0.00005</v>
      </c>
    </row>
    <row customHeight="true" ht="25" r="6">
      <c r="A6" s="70" t="s">
        <v>303</v>
      </c>
      <c r="B6" s="68">
        <v>635</v>
      </c>
      <c r="C6" s="69">
        <v>0.000419</v>
      </c>
    </row>
    <row customHeight="true" ht="25" r="7">
      <c r="A7" s="70" t="s">
        <v>297</v>
      </c>
      <c r="B7" s="68">
        <v>16384</v>
      </c>
      <c r="C7" s="69">
        <v>0.010823</v>
      </c>
    </row>
    <row customHeight="true" ht="25" r="8">
      <c r="A8" s="70" t="s">
        <v>317</v>
      </c>
      <c r="B8" s="68">
        <v>91887</v>
      </c>
      <c r="C8" s="69">
        <v>0.060696</v>
      </c>
    </row>
    <row customHeight="true" ht="25" r="9">
      <c r="A9" s="70" t="s">
        <v>311</v>
      </c>
      <c r="B9" s="68">
        <v>124857</v>
      </c>
      <c r="C9" s="69">
        <v>0.082475</v>
      </c>
    </row>
    <row customHeight="true" ht="25" r="10">
      <c r="A10" s="70" t="s">
        <v>304</v>
      </c>
      <c r="B10" s="68">
        <v>119576</v>
      </c>
      <c r="C10" s="69">
        <v>0.078987</v>
      </c>
    </row>
    <row customHeight="true" ht="25" r="11">
      <c r="A11" s="71" t="s">
        <v>298</v>
      </c>
      <c r="B11" s="72">
        <v>88547</v>
      </c>
      <c r="C11" s="73">
        <v>0.05849</v>
      </c>
    </row>
    <row customHeight="true" ht="25" r="12">
      <c r="A12" s="71" t="s">
        <v>318</v>
      </c>
      <c r="B12" s="72">
        <v>86037</v>
      </c>
      <c r="C12" s="73">
        <v>0.056832</v>
      </c>
    </row>
    <row customHeight="true" ht="25" r="13">
      <c r="A13" s="71" t="s">
        <v>312</v>
      </c>
      <c r="B13" s="72">
        <v>81818</v>
      </c>
      <c r="C13" s="73">
        <v>0.054045</v>
      </c>
    </row>
    <row customHeight="true" ht="25" r="14">
      <c r="A14" s="71" t="s">
        <v>305</v>
      </c>
      <c r="B14" s="72">
        <v>72964</v>
      </c>
      <c r="C14" s="73">
        <v>0.048197</v>
      </c>
    </row>
    <row customHeight="true" ht="25" r="15">
      <c r="A15" s="71" t="s">
        <v>299</v>
      </c>
      <c r="B15" s="72">
        <v>76858</v>
      </c>
      <c r="C15" s="73">
        <v>0.050769</v>
      </c>
    </row>
    <row customHeight="true" ht="25" r="16">
      <c r="A16" s="71" t="s">
        <v>319</v>
      </c>
      <c r="B16" s="72">
        <v>82183</v>
      </c>
      <c r="C16" s="73">
        <v>0.054286</v>
      </c>
    </row>
    <row customHeight="true" ht="25" r="17">
      <c r="A17" s="71" t="s">
        <v>313</v>
      </c>
      <c r="B17" s="72">
        <v>84534</v>
      </c>
      <c r="C17" s="73">
        <v>0.055839</v>
      </c>
    </row>
    <row customHeight="true" ht="25" r="18">
      <c r="A18" s="71" t="s">
        <v>306</v>
      </c>
      <c r="B18" s="72">
        <v>86426</v>
      </c>
      <c r="C18" s="73">
        <v>0.057094</v>
      </c>
    </row>
    <row customHeight="true" ht="25" r="19">
      <c r="A19" s="71" t="s">
        <v>300</v>
      </c>
      <c r="B19" s="72">
        <v>85217</v>
      </c>
      <c r="C19" s="73">
        <v>0.056291</v>
      </c>
    </row>
    <row customHeight="true" ht="25" r="20">
      <c r="A20" s="74" t="s">
        <v>320</v>
      </c>
      <c r="B20" s="75">
        <v>51538</v>
      </c>
      <c r="C20" s="76">
        <v>0.034044</v>
      </c>
    </row>
    <row customHeight="true" ht="25" r="21">
      <c r="A21" s="74" t="s">
        <v>314</v>
      </c>
      <c r="B21" s="75">
        <v>77677</v>
      </c>
      <c r="C21" s="76">
        <v>0.05131</v>
      </c>
    </row>
    <row customHeight="true" ht="25" r="22">
      <c r="A22" s="74" t="s">
        <v>307</v>
      </c>
      <c r="B22" s="75">
        <v>93640</v>
      </c>
      <c r="C22" s="76">
        <v>0.061854</v>
      </c>
    </row>
    <row customHeight="true" ht="25" r="23">
      <c r="A23" s="74" t="s">
        <v>301</v>
      </c>
      <c r="B23" s="75">
        <v>110700</v>
      </c>
      <c r="C23" s="76">
        <v>0.073123</v>
      </c>
    </row>
    <row customHeight="true" ht="25" r="24">
      <c r="A24" s="74" t="s">
        <v>321</v>
      </c>
      <c r="B24" s="75">
        <v>51338</v>
      </c>
      <c r="C24" s="76">
        <v>0.033912</v>
      </c>
    </row>
    <row customHeight="true" ht="25" r="25">
      <c r="A25" s="74" t="s">
        <v>315</v>
      </c>
      <c r="B25" s="75">
        <v>13022</v>
      </c>
      <c r="C25" s="76">
        <v>0.008602</v>
      </c>
    </row>
    <row customHeight="true" ht="25" r="26"/>
    <row customHeight="true" ht="25" r="27"/>
    <row customHeight="true" ht="25" r="28"/>
    <row customHeight="true" ht="25" r="29"/>
    <row customHeight="true" ht="25" r="30"/>
    <row customHeight="true" ht="25" r="31"/>
    <row customHeight="true" ht="25" r="32"/>
    <row customHeight="true" ht="25" r="33"/>
    <row customHeight="true" ht="25" r="34"/>
    <row customHeight="true" ht="25" r="35"/>
    <row customHeight="true" ht="25" r="36"/>
    <row customHeight="true" ht="25" r="37"/>
    <row customHeight="true" ht="25" r="38"/>
    <row customHeight="true" ht="25" r="39"/>
    <row customHeight="true" ht="25" r="40"/>
    <row customHeight="true" ht="25" r="41"/>
    <row customHeight="true" ht="25" r="42"/>
    <row customHeight="true" ht="25" r="43"/>
    <row customHeight="true" ht="25" r="44"/>
    <row customHeight="true" ht="25" r="45"/>
    <row customHeight="true" ht="25" r="46"/>
    <row customHeight="true" ht="25" r="47"/>
    <row customHeight="true" ht="25" r="48"/>
    <row customHeight="true" ht="25" r="49"/>
    <row customHeight="true" ht="25" r="50"/>
    <row customHeight="true" ht="25" r="51"/>
    <row customHeight="true" ht="25" r="52"/>
    <row customHeight="true" ht="25" r="53"/>
    <row customHeight="true" ht="25" r="54"/>
    <row customHeight="true" ht="25" r="55"/>
    <row customHeight="true" ht="25" r="56"/>
    <row customHeight="true" ht="25" r="57"/>
    <row customHeight="true" ht="25" r="58"/>
    <row customHeight="true" ht="25" r="59"/>
    <row customHeight="true" ht="25" r="60"/>
    <row customHeight="true" ht="25" r="61"/>
    <row customHeight="true" ht="25" r="62"/>
    <row customHeight="true" ht="25" r="63"/>
    <row customHeight="true" ht="25" r="64"/>
    <row customHeight="true" ht="25" r="65"/>
    <row customHeight="true" ht="25" r="66"/>
    <row customHeight="true" ht="25" r="67"/>
    <row customHeight="true" ht="25" r="68"/>
    <row customHeight="true" ht="25" r="69"/>
    <row customHeight="true" ht="25" r="70"/>
    <row customHeight="true" ht="25" r="71"/>
    <row customHeight="true" ht="25" r="72"/>
    <row customHeight="true" ht="25" r="73"/>
    <row customHeight="true" ht="25" r="74"/>
    <row customHeight="true" ht="25" r="75"/>
    <row customHeight="true" ht="25" r="76"/>
    <row customHeight="true" ht="25" r="77"/>
    <row customHeight="true" ht="25" r="78"/>
    <row customHeight="true" ht="25" r="79"/>
    <row customHeight="true" ht="25" r="80"/>
    <row customHeight="true" ht="25" r="81"/>
    <row customHeight="true" ht="25" r="82"/>
    <row customHeight="true" ht="25" r="83"/>
    <row customHeight="true" ht="25" r="84"/>
    <row customHeight="true" ht="25" r="85"/>
    <row customHeight="true" ht="25" r="86"/>
    <row customHeight="true" ht="25" r="87"/>
    <row customHeight="true" ht="25" r="88"/>
    <row customHeight="true" ht="25" r="89"/>
    <row customHeight="true" ht="25" r="90"/>
    <row customHeight="true" ht="25" r="91"/>
    <row customHeight="true" ht="25" r="92"/>
    <row customHeight="true" ht="25" r="93"/>
    <row customHeight="true" ht="25" r="94"/>
    <row customHeight="true" ht="25" r="95"/>
    <row customHeight="true" ht="25" r="96"/>
    <row customHeight="true" ht="25" r="97"/>
    <row customHeight="true" ht="25" r="98"/>
    <row customHeight="true" ht="25" r="99"/>
    <row customHeight="true" ht="25" r="100"/>
    <row customHeight="true" ht="25" r="101"/>
    <row customHeight="true" ht="25" r="102"/>
    <row customHeight="true" ht="25" r="103"/>
    <row customHeight="true" ht="25" r="104"/>
    <row customHeight="true" ht="25" r="105"/>
    <row customHeight="true" ht="25" r="106"/>
    <row customHeight="true" ht="25" r="107"/>
    <row customHeight="true" ht="25" r="108"/>
    <row customHeight="true" ht="25" r="109"/>
    <row customHeight="true" ht="25" r="110"/>
    <row customHeight="true" ht="25" r="111"/>
    <row customHeight="true" ht="25" r="112"/>
    <row customHeight="true" ht="25" r="113"/>
    <row customHeight="true" ht="25" r="114"/>
    <row customHeight="true" ht="25" r="115"/>
    <row customHeight="true" ht="25" r="116"/>
    <row customHeight="true" ht="25" r="117"/>
    <row customHeight="true" ht="25" r="118"/>
    <row customHeight="true" ht="25" r="119"/>
    <row customHeight="true" ht="25" r="120"/>
    <row customHeight="true" ht="25" r="121"/>
    <row customHeight="true" ht="25" r="122"/>
    <row customHeight="true" ht="25" r="123"/>
    <row customHeight="true" ht="25" r="124"/>
    <row customHeight="true" ht="25" r="125"/>
    <row customHeight="true" ht="25" r="126"/>
    <row customHeight="true" ht="25" r="127"/>
    <row customHeight="true" ht="25" r="128"/>
    <row customHeight="true" ht="25" r="129"/>
    <row customHeight="true" ht="25" r="130"/>
    <row customHeight="true" ht="25" r="131"/>
    <row customHeight="true" ht="25" r="132"/>
    <row customHeight="true" ht="25" r="133"/>
    <row customHeight="true" ht="25" r="134"/>
    <row customHeight="true" ht="25" r="135"/>
    <row customHeight="true" ht="25" r="136"/>
    <row customHeight="true" ht="25" r="137"/>
    <row customHeight="true" ht="25" r="138"/>
    <row customHeight="true" ht="25" r="139"/>
    <row customHeight="true" ht="25" r="140"/>
    <row customHeight="true" ht="25" r="141"/>
    <row customHeight="true" ht="25" r="142"/>
    <row customHeight="true" ht="25" r="143"/>
    <row customHeight="true" ht="25" r="144"/>
    <row customHeight="true" ht="25" r="145"/>
    <row customHeight="true" ht="25" r="146"/>
    <row customHeight="true" ht="25" r="147"/>
    <row customHeight="true" ht="25" r="148"/>
    <row customHeight="true" ht="25" r="149"/>
    <row customHeight="true" ht="25" r="150"/>
    <row customHeight="true" ht="25" r="151"/>
    <row customHeight="true" ht="25" r="152"/>
    <row customHeight="true" ht="25" r="153"/>
    <row customHeight="true" ht="25" r="154"/>
    <row customHeight="true" ht="25" r="155"/>
    <row customHeight="true" ht="25" r="156"/>
    <row customHeight="true" ht="25" r="157"/>
    <row customHeight="true" ht="25" r="158"/>
    <row customHeight="true" ht="25" r="159"/>
    <row customHeight="true" ht="25" r="160"/>
    <row customHeight="true" ht="25" r="161"/>
    <row customHeight="true" ht="25" r="162"/>
    <row customHeight="true" ht="25" r="163"/>
    <row customHeight="true" ht="25" r="164"/>
    <row customHeight="true" ht="25" r="165"/>
    <row customHeight="true" ht="25" r="166"/>
    <row customHeight="true" ht="25" r="167"/>
    <row customHeight="true" ht="25" r="168"/>
    <row customHeight="true" ht="25" r="169"/>
    <row customHeight="true" ht="25" r="170"/>
    <row customHeight="true" ht="25" r="171"/>
    <row customHeight="true" ht="25" r="172"/>
    <row customHeight="true" ht="25" r="173"/>
    <row customHeight="true" ht="25" r="174"/>
    <row customHeight="true" ht="25" r="175"/>
    <row customHeight="true" ht="25" r="176"/>
    <row customHeight="true" ht="25" r="177"/>
    <row customHeight="true" ht="25" r="178"/>
    <row customHeight="true" ht="25" r="179"/>
    <row customHeight="true" ht="25" r="180"/>
    <row customHeight="true" ht="25" r="181"/>
    <row customHeight="true" ht="25" r="182"/>
    <row customHeight="true" ht="25" r="183"/>
    <row customHeight="true" ht="25" r="184"/>
    <row customHeight="true" ht="25" r="185"/>
    <row customHeight="true" ht="25" r="186"/>
    <row customHeight="true" ht="25" r="187"/>
    <row customHeight="true" ht="25" r="188"/>
    <row customHeight="true" ht="25" r="189"/>
    <row customHeight="true" ht="25" r="190"/>
    <row customHeight="true" ht="25" r="191"/>
    <row customHeight="true" ht="25" r="192"/>
    <row customHeight="true" ht="25" r="193"/>
    <row customHeight="true" ht="25" r="194"/>
    <row customHeight="true" ht="25" r="195"/>
    <row customHeight="true" ht="25" r="196"/>
    <row customHeight="true" ht="25" r="197"/>
    <row customHeight="true" ht="25" r="198"/>
    <row customHeight="true" ht="25" r="199"/>
    <row customHeight="true" ht="25" r="200"/>
  </sheetData>
  <drawing r:id="rId1"/>
  <picture r:id="rId2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2"/>
    <col collapsed="false" customWidth="true" hidden="false" max="3" min="3" style="0" width="21"/>
    <col collapsed="false" customWidth="true" hidden="false" max="4" min="4" style="0" width="21"/>
    <col collapsed="false" customWidth="true" hidden="false" max="6" min="6" style="0" width="39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</cols>
  <sheetData>
    <row r="1"/>
    <row r="2">
      <c r="C2" s="60" t="str">
        <v>注册完成30天内</v>
      </c>
    </row>
    <row r="3"/>
    <row r="4">
      <c r="A4" s="80" t="str">
        <v>次数</v>
      </c>
      <c r="B4" s="80" t="str">
        <v>所有用户首月解读</v>
      </c>
      <c r="C4" s="80" t="str">
        <v>异常用户首月解读</v>
      </c>
      <c r="D4" s="80" t="str">
        <v>套餐用户首月解读</v>
      </c>
    </row>
    <row r="5">
      <c r="A5" s="34">
        <v>1</v>
      </c>
      <c r="B5" s="34">
        <v>140205</v>
      </c>
      <c r="C5" s="34">
        <v>30238</v>
      </c>
      <c r="D5" s="34">
        <v>3451</v>
      </c>
      <c r="H5" s="59" t="str">
        <v>图片是旧图片</v>
      </c>
    </row>
    <row r="6">
      <c r="A6" s="34">
        <v>2</v>
      </c>
      <c r="B6" s="34">
        <v>46688</v>
      </c>
      <c r="C6" s="34">
        <v>16375</v>
      </c>
      <c r="D6" s="34">
        <v>2012</v>
      </c>
      <c r="F6" s="25"/>
    </row>
    <row r="7">
      <c r="A7" s="34">
        <v>3</v>
      </c>
      <c r="B7" s="34">
        <v>20386</v>
      </c>
      <c r="C7" s="34">
        <v>9472</v>
      </c>
      <c r="D7" s="34">
        <v>1359</v>
      </c>
    </row>
    <row r="8">
      <c r="A8" s="34">
        <v>4</v>
      </c>
      <c r="B8" s="34">
        <v>10455</v>
      </c>
      <c r="C8" s="34">
        <v>5726</v>
      </c>
      <c r="D8" s="34">
        <v>1039</v>
      </c>
    </row>
    <row r="9">
      <c r="A9" s="34">
        <v>5</v>
      </c>
      <c r="B9" s="34">
        <v>6212</v>
      </c>
      <c r="C9" s="34">
        <v>3817</v>
      </c>
      <c r="D9" s="34">
        <v>796</v>
      </c>
    </row>
    <row r="10">
      <c r="A10" s="79" t="str">
        <v>6-10</v>
      </c>
      <c r="B10" s="34">
        <v>10774</v>
      </c>
      <c r="C10" s="34">
        <v>7338</v>
      </c>
      <c r="D10" s="34">
        <v>2224</v>
      </c>
    </row>
    <row r="11">
      <c r="A11" s="79" t="str">
        <v>11-20</v>
      </c>
      <c r="B11" s="34">
        <v>2540</v>
      </c>
      <c r="C11" s="34">
        <v>2068</v>
      </c>
      <c r="D11" s="34">
        <v>1660</v>
      </c>
    </row>
    <row r="12">
      <c r="A12" s="79" t="str">
        <v>21-50</v>
      </c>
      <c r="B12" s="34">
        <v>1595</v>
      </c>
      <c r="C12" s="34">
        <v>1422</v>
      </c>
      <c r="D12" s="34">
        <v>1338</v>
      </c>
    </row>
    <row r="13">
      <c r="A13" s="77" t="str">
        <v>51-100</v>
      </c>
      <c r="B13" s="78">
        <v>504</v>
      </c>
      <c r="C13" s="78">
        <v>487</v>
      </c>
      <c r="D13" s="78">
        <v>463</v>
      </c>
    </row>
    <row r="14">
      <c r="A14" s="34" t="str">
        <v>&gt;100</v>
      </c>
      <c r="B14" s="34">
        <v>232</v>
      </c>
      <c r="C14" s="34">
        <v>229</v>
      </c>
      <c r="D14" s="34">
        <v>225</v>
      </c>
    </row>
  </sheetData>
  <drawing r:id="rId1"/>
  <picture r:id="rId2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/>
    <row r="2"/>
    <row r="3"/>
    <row r="4"/>
    <row r="5">
      <c r="A5" s="34" t="str">
        <v>当日留存</v>
      </c>
      <c r="B5" s="81" t="str">
        <v>次日留存</v>
      </c>
      <c r="C5" s="34" t="str">
        <v>隔日留存</v>
      </c>
      <c r="D5" s="34" t="str">
        <v>五日留存</v>
      </c>
      <c r="E5" s="34" t="str">
        <v>次周留存</v>
      </c>
      <c r="F5" s="34" t="str">
        <v>十日留存</v>
      </c>
      <c r="G5" s="34" t="str">
        <v>半月留存</v>
      </c>
    </row>
    <row r="6">
      <c r="A6" s="34">
        <v>197816</v>
      </c>
      <c r="B6" s="81">
        <v>21967</v>
      </c>
      <c r="C6" s="34">
        <v>16302</v>
      </c>
      <c r="D6" s="34">
        <v>10622</v>
      </c>
      <c r="E6" s="34">
        <v>8839</v>
      </c>
      <c r="F6" s="34">
        <v>7006</v>
      </c>
      <c r="G6" s="34">
        <v>5528</v>
      </c>
    </row>
    <row r="7"/>
    <row r="8">
      <c r="B8" s="81" t="str">
        <v>次日留存率</v>
      </c>
      <c r="C8" s="34" t="str">
        <v>隔日留存率</v>
      </c>
      <c r="D8" s="34" t="str">
        <v>五日留存率</v>
      </c>
      <c r="E8" s="34" t="str">
        <v>次周留存率</v>
      </c>
      <c r="F8" s="34" t="str">
        <v>十日留存率</v>
      </c>
      <c r="G8" s="34" t="str">
        <v>半月留存率</v>
      </c>
      <c r="L8" s="59" t="str">
        <v>旧图片</v>
      </c>
    </row>
    <row r="9">
      <c r="B9" s="82">
        <f>B6/A6</f>
      </c>
      <c r="C9" s="82">
        <f>C6/A6</f>
      </c>
      <c r="D9" s="82">
        <f>D6/A6</f>
      </c>
      <c r="E9" s="82">
        <f>E6/A6</f>
      </c>
      <c r="F9" s="82">
        <f>F6/A6</f>
      </c>
      <c r="G9" s="82">
        <f>G6/A6</f>
      </c>
    </row>
  </sheetData>
  <drawing r:id="rId1"/>
  <picture r:id="rId2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4"/>
    <col collapsed="false" customWidth="true" hidden="false" max="2" min="2" style="0" width="22"/>
    <col collapsed="false" customWidth="true" hidden="false" max="3" min="3" style="0" width="16"/>
    <col collapsed="false" customWidth="true" hidden="false" max="4" min="4" style="0" width="20"/>
    <col collapsed="false" customWidth="true" hidden="false" max="5" min="5" style="0" width="30"/>
    <col collapsed="false" customWidth="true" hidden="false" max="6" min="6" style="0" width="18"/>
    <col collapsed="false" customWidth="true" hidden="false" max="7" min="7" style="0" width="17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19"/>
  </cols>
  <sheetData>
    <row r="1">
      <c r="A1" s="83" t="str">
        <v>统计规则：根据SN统计
Y3开头--GT2 Pro ECG
LYBTQ开头--GT2 Pro ECG金卡限定版
QLB开头--Watch D
FGLTQ/JCGBB/DBXBB/EHQTQ开头--GT3 Pro
免费解读次数：使用6次免费套餐解读的次数
付费解读次数：使用包年套餐或单次支付解读的次数</v>
      </c>
    </row>
    <row r="2">
      <c r="A2" s="83"/>
      <c r="B2" s="86" t="str">
        <v>设备</v>
      </c>
      <c r="C2" s="84" t="str">
        <v>累计心电解读数量</v>
      </c>
      <c r="D2" s="84" t="str">
        <v>累计免费心电解读数量</v>
      </c>
      <c r="E2" s="84" t="str">
        <v>累计付费心电解读数量</v>
      </c>
      <c r="F2" s="84" t="str">
        <v>累计包年套餐销售量</v>
      </c>
      <c r="G2" s="85" t="s">
        <v>324</v>
      </c>
      <c r="H2" s="85" t="s">
        <v>322</v>
      </c>
      <c r="I2" s="85" t="s">
        <v>323</v>
      </c>
      <c r="J2" s="87" t="s">
        <v>325</v>
      </c>
    </row>
    <row r="3">
      <c r="A3" s="83"/>
      <c r="B3" s="91" t="str">
        <v>GT2 pro ECG</v>
      </c>
      <c r="C3" s="92">
        <v>860063</v>
      </c>
      <c r="D3" s="89">
        <v>332432</v>
      </c>
      <c r="E3" s="89">
        <v>527631</v>
      </c>
      <c r="F3" s="90">
        <v>4105</v>
      </c>
      <c r="G3" s="90">
        <v>17172</v>
      </c>
      <c r="H3" s="89">
        <v>9938</v>
      </c>
      <c r="I3" s="89">
        <v>7234</v>
      </c>
      <c r="J3" s="90">
        <v>101</v>
      </c>
    </row>
    <row r="4">
      <c r="A4" s="83"/>
      <c r="B4" s="88" t="str">
        <v>GT2 Pro ECG金卡限定版</v>
      </c>
      <c r="C4" s="90">
        <v>263246</v>
      </c>
      <c r="D4" s="89">
        <v>6925</v>
      </c>
      <c r="E4" s="89">
        <v>256321</v>
      </c>
      <c r="F4" s="90">
        <v>11368</v>
      </c>
      <c r="G4" s="90">
        <v>7933</v>
      </c>
      <c r="H4" s="90">
        <v>565</v>
      </c>
      <c r="I4" s="90">
        <v>7368</v>
      </c>
      <c r="J4" s="90">
        <v>367</v>
      </c>
    </row>
    <row r="5">
      <c r="A5" s="83"/>
      <c r="B5" s="91" t="str">
        <v>GT3 Pro</v>
      </c>
      <c r="C5" s="90">
        <v>23059</v>
      </c>
      <c r="D5" s="89">
        <v>17734</v>
      </c>
      <c r="E5" s="89">
        <v>5325</v>
      </c>
      <c r="F5" s="90">
        <v>191</v>
      </c>
      <c r="G5" s="90">
        <v>5333</v>
      </c>
      <c r="H5" s="89">
        <v>4479</v>
      </c>
      <c r="I5" s="90">
        <v>854</v>
      </c>
      <c r="J5" s="90">
        <v>13</v>
      </c>
    </row>
    <row r="6">
      <c r="A6" s="83"/>
      <c r="B6" s="91" t="str">
        <v>Watch D</v>
      </c>
      <c r="C6" s="90">
        <v>244606</v>
      </c>
      <c r="D6" s="89">
        <v>126383</v>
      </c>
      <c r="E6" s="89">
        <v>118223</v>
      </c>
      <c r="F6" s="90">
        <v>1762</v>
      </c>
      <c r="G6" s="90">
        <v>12818</v>
      </c>
      <c r="H6" s="89">
        <v>8772</v>
      </c>
      <c r="I6" s="89">
        <v>4046</v>
      </c>
      <c r="J6" s="90">
        <v>74</v>
      </c>
    </row>
    <row r="7">
      <c r="A7" s="83"/>
    </row>
    <row r="8"/>
    <row r="9">
      <c r="A9" s="25"/>
    </row>
    <row r="10">
      <c r="A10" s="25"/>
    </row>
    <row r="11">
      <c r="A11" s="25"/>
    </row>
    <row r="12">
      <c r="A12" s="25"/>
    </row>
  </sheetData>
  <mergeCells>
    <mergeCell ref="A1:A7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25" t="str">
        <v>免费用户</v>
      </c>
      <c r="B1" s="93">
        <v>1751063</v>
      </c>
    </row>
    <row r="2">
      <c r="A2" s="25" t="str">
        <v>单次付费用户</v>
      </c>
      <c r="B2" s="25">
        <v>33364</v>
      </c>
    </row>
    <row r="3">
      <c r="A3" s="25" t="str">
        <v>购买套餐用户</v>
      </c>
      <c r="B3" s="25">
        <v>5268</v>
      </c>
    </row>
    <row r="4">
      <c r="A4" s="25" t="str">
        <v>截止2022.10.9</v>
      </c>
    </row>
  </sheetData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19"/>
    <col collapsed="false" customWidth="true" hidden="false" max="3" min="3" style="0" width="21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3"/>
    <col collapsed="false" customWidth="true" hidden="false" max="9" min="9" style="0" width="19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8"/>
    <col collapsed="false" customWidth="true" hidden="false" max="18" min="18" style="0" width="18"/>
    <col collapsed="false" customWidth="true" hidden="false" max="19" min="19" style="0" width="18"/>
  </cols>
  <sheetData>
    <row r="1">
      <c r="A1" s="52"/>
      <c r="B1" s="52"/>
      <c r="C1" s="52"/>
      <c r="D1" s="52"/>
      <c r="E1" s="52"/>
      <c r="F1" s="52"/>
      <c r="G1" s="100"/>
      <c r="H1" s="52"/>
      <c r="I1" s="52"/>
      <c r="J1" s="52"/>
      <c r="K1" s="52"/>
      <c r="L1" s="52"/>
    </row>
    <row r="2">
      <c r="A2" s="52"/>
      <c r="B2" s="127"/>
      <c r="C2" s="126"/>
      <c r="D2" s="126"/>
      <c r="E2" s="126"/>
      <c r="F2" s="127" t="str">
        <v>套餐满一年</v>
      </c>
      <c r="G2" s="100" t="str">
        <v>套餐满一个月</v>
      </c>
      <c r="H2" s="52" t="str">
        <v>套餐满3个月</v>
      </c>
      <c r="I2" s="52"/>
      <c r="J2" s="52"/>
      <c r="K2" s="52"/>
      <c r="L2" s="52"/>
    </row>
    <row r="3">
      <c r="A3" s="132" t="str">
        <v>类型</v>
      </c>
      <c r="B3" s="134" t="str">
        <v>套餐激活量</v>
      </c>
      <c r="C3" s="133" t="str">
        <v>已到期的套餐数量</v>
      </c>
      <c r="D3" s="130" t="str">
        <v>续费套餐数量</v>
      </c>
      <c r="E3" s="130" t="str">
        <v>续费率</v>
      </c>
      <c r="F3" s="132" t="str">
        <v>套餐平均使用次数</v>
      </c>
      <c r="G3" s="131" t="str">
        <v>套餐首月使用次数</v>
      </c>
      <c r="H3" s="132" t="str">
        <v>套餐首季度使用次数</v>
      </c>
      <c r="I3" s="52"/>
      <c r="J3" s="52"/>
      <c r="K3" s="52"/>
      <c r="L3" s="52"/>
    </row>
    <row r="4">
      <c r="A4" s="102" t="str">
        <v>线上包年套餐</v>
      </c>
      <c r="B4" s="129">
        <v>5658</v>
      </c>
      <c r="C4" s="128">
        <v>2284</v>
      </c>
      <c r="D4" s="128">
        <v>407</v>
      </c>
      <c r="E4" s="128" t="str">
        <v>407/2282</v>
      </c>
      <c r="F4" s="120">
        <v>118</v>
      </c>
      <c r="G4" s="124">
        <v>23</v>
      </c>
      <c r="H4" s="102">
        <v>47</v>
      </c>
      <c r="I4" s="52"/>
      <c r="J4" s="52"/>
      <c r="K4" s="52"/>
      <c r="L4" s="52"/>
    </row>
    <row r="5">
      <c r="A5" s="102" t="str">
        <v>Vmall实体卡</v>
      </c>
      <c r="B5" s="102">
        <v>927</v>
      </c>
      <c r="C5" s="120">
        <v>660</v>
      </c>
      <c r="D5" s="120">
        <v>24</v>
      </c>
      <c r="E5" s="120" t="str">
        <v>24/613</v>
      </c>
      <c r="F5" s="102">
        <v>75</v>
      </c>
      <c r="G5" s="124">
        <v>10</v>
      </c>
      <c r="H5" s="102">
        <v>23</v>
      </c>
      <c r="I5" s="52"/>
      <c r="J5" s="52"/>
      <c r="K5" s="52"/>
      <c r="L5" s="52"/>
    </row>
    <row r="6">
      <c r="A6" s="102" t="str">
        <v>inbox模式</v>
      </c>
      <c r="B6" s="102">
        <v>16364</v>
      </c>
      <c r="C6" s="120">
        <v>2890</v>
      </c>
      <c r="D6" s="120">
        <v>18</v>
      </c>
      <c r="E6" s="120" t="str">
        <v>18/2890</v>
      </c>
      <c r="F6" s="102">
        <v>24</v>
      </c>
      <c r="G6" s="124">
        <v>4</v>
      </c>
      <c r="H6" s="102">
        <v>8</v>
      </c>
      <c r="I6" s="52"/>
      <c r="J6" s="52"/>
      <c r="K6" s="52"/>
      <c r="L6" s="52"/>
    </row>
    <row r="7">
      <c r="A7" s="52"/>
      <c r="B7" s="52"/>
      <c r="C7" s="52"/>
      <c r="D7" s="52"/>
      <c r="E7" s="52"/>
      <c r="F7" s="52"/>
      <c r="G7" s="100"/>
      <c r="H7" s="52"/>
      <c r="I7" s="52"/>
      <c r="J7" s="52"/>
      <c r="K7" s="52"/>
      <c r="L7" s="52"/>
    </row>
    <row r="8">
      <c r="A8" s="52"/>
      <c r="B8" s="52"/>
      <c r="C8" s="52"/>
      <c r="D8" s="52"/>
      <c r="E8" s="52"/>
      <c r="F8" s="52"/>
      <c r="G8" s="100"/>
      <c r="H8" s="52"/>
      <c r="I8" s="52"/>
      <c r="J8" s="52"/>
      <c r="K8" s="52"/>
      <c r="L8" s="52"/>
    </row>
    <row r="9">
      <c r="A9" s="52"/>
      <c r="B9" s="52"/>
      <c r="C9" s="52"/>
      <c r="D9" s="52"/>
      <c r="E9" s="52"/>
      <c r="F9" s="52"/>
      <c r="G9" s="100"/>
      <c r="H9" s="52"/>
      <c r="I9" s="52"/>
      <c r="J9" s="52"/>
      <c r="K9" s="52"/>
      <c r="L9" s="52"/>
    </row>
    <row r="10">
      <c r="A10" s="122" t="str">
        <v>套餐满一年的用户的如下数据：</v>
      </c>
      <c r="B10" s="122"/>
      <c r="C10" s="122"/>
      <c r="D10" s="52"/>
      <c r="E10" s="52"/>
      <c r="F10" s="52"/>
      <c r="G10" s="100"/>
      <c r="H10" s="52"/>
      <c r="I10" s="52"/>
      <c r="J10" s="52"/>
      <c r="K10" s="52"/>
      <c r="L10" s="52"/>
    </row>
    <row r="11">
      <c r="A11" s="86" t="str">
        <v>类型</v>
      </c>
      <c r="B11" s="123" t="str">
        <v>套餐用户平均使用次数</v>
      </c>
      <c r="C11" s="123" t="str">
        <v>“使用次数大于6次套餐用户”的平均使用次数</v>
      </c>
      <c r="D11" s="52"/>
      <c r="E11" s="52"/>
      <c r="F11" s="52"/>
      <c r="G11" s="100"/>
      <c r="H11" s="52"/>
      <c r="I11" s="52"/>
      <c r="J11" s="52"/>
      <c r="K11" s="52"/>
      <c r="L11" s="52"/>
    </row>
    <row r="12">
      <c r="A12" s="102" t="str">
        <v>线上包年套餐</v>
      </c>
      <c r="B12" s="120" t="str">
        <v>267880/2284</v>
      </c>
      <c r="C12" s="101" t="str">
        <v>266934/1519</v>
      </c>
      <c r="D12" s="52"/>
      <c r="E12" s="52"/>
      <c r="F12" s="52"/>
      <c r="G12" s="100"/>
      <c r="H12" s="52"/>
      <c r="I12" s="52"/>
      <c r="J12" s="52"/>
      <c r="K12" s="52"/>
      <c r="L12" s="52"/>
    </row>
    <row r="13">
      <c r="A13" s="102" t="str">
        <v>Vmall实体卡</v>
      </c>
      <c r="B13" s="120" t="str">
        <v>49868/665</v>
      </c>
      <c r="C13" s="101" t="str">
        <v>48465/340</v>
      </c>
      <c r="D13" s="52"/>
      <c r="E13" s="52"/>
      <c r="F13" s="52"/>
      <c r="G13" s="100"/>
      <c r="H13" s="52"/>
      <c r="I13" s="52"/>
      <c r="J13" s="52"/>
      <c r="K13" s="52"/>
      <c r="L13" s="52"/>
    </row>
    <row r="14">
      <c r="A14" s="102" t="str">
        <v>inbox模式</v>
      </c>
      <c r="B14" s="120" t="str">
        <v>69557/2890</v>
      </c>
      <c r="C14" s="101" t="str">
        <v>67599/718</v>
      </c>
      <c r="D14" s="52"/>
      <c r="E14" s="52"/>
      <c r="F14" s="52"/>
      <c r="G14" s="100"/>
      <c r="H14" s="52"/>
      <c r="I14" s="52"/>
      <c r="J14" s="52"/>
      <c r="K14" s="52"/>
      <c r="L14" s="52"/>
    </row>
    <row r="15">
      <c r="A15" s="105" t="str">
        <v>ALL</v>
      </c>
      <c r="B15" s="104" t="str">
        <v>387305/5839</v>
      </c>
      <c r="C15" s="104" t="str">
        <v>382998/2577</v>
      </c>
      <c r="D15" s="52"/>
      <c r="E15" s="52"/>
      <c r="F15" s="52"/>
      <c r="G15" s="100"/>
      <c r="H15" s="52"/>
      <c r="I15" s="52"/>
      <c r="J15" s="52"/>
      <c r="K15" s="52"/>
      <c r="L15" s="52"/>
    </row>
    <row r="16">
      <c r="A16" s="52"/>
      <c r="B16" s="52"/>
      <c r="C16" s="52"/>
      <c r="D16" s="52"/>
      <c r="E16" s="52"/>
      <c r="F16" s="52"/>
      <c r="G16" s="100"/>
      <c r="H16" s="52"/>
      <c r="I16" s="52"/>
      <c r="J16" s="52"/>
      <c r="K16" s="52"/>
      <c r="L16" s="52"/>
    </row>
    <row r="17">
      <c r="A17" s="52"/>
      <c r="B17" s="52"/>
      <c r="C17" s="52"/>
      <c r="D17" s="52"/>
      <c r="E17" s="52"/>
      <c r="F17" s="52"/>
      <c r="G17" s="100"/>
      <c r="H17" s="52"/>
      <c r="I17" s="52"/>
      <c r="J17" s="52"/>
      <c r="K17" s="52"/>
      <c r="L17" s="52"/>
    </row>
    <row r="18">
      <c r="A18" s="52"/>
      <c r="B18" s="52"/>
      <c r="C18" s="52"/>
      <c r="D18" s="52"/>
      <c r="E18" s="52"/>
      <c r="F18" s="52"/>
      <c r="G18" s="100"/>
      <c r="H18" s="52"/>
      <c r="I18" s="52"/>
      <c r="J18" s="52"/>
      <c r="K18" s="52"/>
      <c r="L18" s="52"/>
    </row>
    <row r="19">
      <c r="A19" s="52" t="str">
        <v>套餐满一年的用户</v>
      </c>
      <c r="B19" s="52"/>
      <c r="C19" s="52"/>
      <c r="D19" s="52"/>
      <c r="E19" s="52"/>
      <c r="F19" s="52"/>
      <c r="G19" s="100"/>
      <c r="H19" s="52"/>
      <c r="I19" s="52"/>
      <c r="J19" s="52"/>
      <c r="K19" s="52"/>
      <c r="L19" s="52"/>
    </row>
    <row r="20">
      <c r="A20" s="86" t="str">
        <v>类型</v>
      </c>
      <c r="B20" s="86" t="str">
        <v>6次及以下</v>
      </c>
      <c r="C20" s="86" t="str">
        <v>7-20次</v>
      </c>
      <c r="D20" s="86" t="str">
        <v>21-50次</v>
      </c>
      <c r="E20" s="112" t="str">
        <v>51-120次</v>
      </c>
      <c r="F20" s="112" t="str">
        <v>121-200次</v>
      </c>
      <c r="G20" s="113" t="str">
        <v>200次以上</v>
      </c>
      <c r="H20" s="52"/>
      <c r="I20" s="52"/>
      <c r="J20" s="52"/>
      <c r="K20" s="52"/>
      <c r="L20" s="52"/>
    </row>
    <row r="21">
      <c r="A21" s="102" t="str">
        <v>线上包年套餐</v>
      </c>
      <c r="B21" s="101">
        <v>761</v>
      </c>
      <c r="C21" s="101">
        <v>345</v>
      </c>
      <c r="D21" s="101">
        <v>375</v>
      </c>
      <c r="E21" s="101">
        <v>334</v>
      </c>
      <c r="F21" s="101">
        <v>157</v>
      </c>
      <c r="G21" s="103">
        <v>316</v>
      </c>
      <c r="H21" s="52"/>
      <c r="I21" s="52"/>
      <c r="J21" s="52"/>
      <c r="K21" s="52"/>
      <c r="L21" s="52"/>
    </row>
    <row r="22">
      <c r="A22" s="102" t="str">
        <v>Vmall实体卡</v>
      </c>
      <c r="B22" s="101">
        <v>315</v>
      </c>
      <c r="C22" s="101">
        <v>96</v>
      </c>
      <c r="D22" s="101">
        <v>79</v>
      </c>
      <c r="E22" s="101">
        <v>86</v>
      </c>
      <c r="F22" s="101">
        <v>40</v>
      </c>
      <c r="G22" s="103">
        <v>51</v>
      </c>
      <c r="H22" s="52"/>
      <c r="I22" s="52"/>
      <c r="J22" s="52"/>
      <c r="K22" s="52"/>
      <c r="L22" s="52"/>
    </row>
    <row r="23">
      <c r="A23" s="102" t="str">
        <v>inbox模式</v>
      </c>
      <c r="B23" s="101">
        <v>2141</v>
      </c>
      <c r="C23" s="101">
        <v>285</v>
      </c>
      <c r="D23" s="101">
        <v>212</v>
      </c>
      <c r="E23" s="101">
        <v>122</v>
      </c>
      <c r="F23" s="101">
        <v>43</v>
      </c>
      <c r="G23" s="103">
        <v>70</v>
      </c>
      <c r="H23" s="52"/>
      <c r="I23" s="52"/>
      <c r="J23" s="52"/>
      <c r="K23" s="52"/>
      <c r="L23" s="52"/>
    </row>
    <row r="24">
      <c r="A24" s="105" t="str">
        <v>ALL</v>
      </c>
      <c r="B24" s="104">
        <v>3217</v>
      </c>
      <c r="C24" s="104">
        <v>726</v>
      </c>
      <c r="D24" s="101">
        <v>666</v>
      </c>
      <c r="E24" s="101">
        <v>542</v>
      </c>
      <c r="F24" s="101">
        <v>240</v>
      </c>
      <c r="G24" s="103">
        <v>437</v>
      </c>
      <c r="H24" s="52"/>
      <c r="I24" s="52"/>
      <c r="J24" s="52"/>
      <c r="K24" s="52"/>
      <c r="L24" s="52"/>
    </row>
    <row r="25">
      <c r="A25" s="52"/>
      <c r="B25" s="52"/>
      <c r="C25" s="52"/>
      <c r="D25" s="52"/>
      <c r="E25" s="52"/>
      <c r="F25" s="98"/>
      <c r="G25" s="99"/>
      <c r="H25" s="52"/>
      <c r="I25" s="52"/>
      <c r="J25" s="52"/>
      <c r="K25" s="52"/>
      <c r="L25" s="52"/>
    </row>
    <row r="26">
      <c r="A26" s="52"/>
      <c r="B26" s="52"/>
      <c r="C26" s="52"/>
      <c r="D26" s="52"/>
      <c r="E26" s="52"/>
      <c r="F26" s="98"/>
      <c r="G26" s="99"/>
      <c r="H26" s="98"/>
      <c r="I26" s="98"/>
      <c r="J26" s="52"/>
      <c r="K26" s="52"/>
      <c r="L26" s="52"/>
    </row>
    <row r="27">
      <c r="A27" s="52"/>
      <c r="B27" s="52"/>
      <c r="C27" s="52"/>
      <c r="D27" s="52"/>
      <c r="E27" s="52"/>
      <c r="F27" s="98"/>
      <c r="G27" s="99"/>
      <c r="H27" s="98"/>
      <c r="I27" s="98"/>
      <c r="J27" s="52"/>
      <c r="K27" s="52"/>
      <c r="L27" s="52"/>
    </row>
    <row r="28">
      <c r="A28" s="52"/>
      <c r="B28" s="52"/>
      <c r="C28" s="52"/>
      <c r="D28" s="52"/>
      <c r="E28" s="52"/>
      <c r="F28" s="52"/>
      <c r="G28" s="100"/>
      <c r="H28" s="52"/>
      <c r="I28" s="52"/>
      <c r="J28" s="52"/>
      <c r="K28" s="52"/>
      <c r="L28" s="52"/>
    </row>
    <row r="29">
      <c r="A29" s="52" t="str">
        <v>单次解读次数的分布（从首次解读，满12个月的用户）</v>
      </c>
      <c r="B29" s="52"/>
      <c r="C29" s="52"/>
      <c r="D29" s="52"/>
      <c r="E29" s="52"/>
      <c r="F29" s="52"/>
      <c r="G29" s="137"/>
      <c r="H29" s="52"/>
      <c r="I29" s="52"/>
      <c r="J29" s="52"/>
      <c r="K29" s="52"/>
      <c r="L29" s="52"/>
    </row>
    <row r="30">
      <c r="A30" s="135" t="str">
        <v>单次解读次数（：次数）</v>
      </c>
      <c r="B30" s="135" t="str">
        <v>1次（：用户数）</v>
      </c>
      <c r="C30" s="132" t="str">
        <v>2次</v>
      </c>
      <c r="D30" s="132" t="str">
        <v>3次</v>
      </c>
      <c r="E30" s="132" t="str">
        <v>4次</v>
      </c>
      <c r="F30" s="132" t="str">
        <v>5次</v>
      </c>
      <c r="G30" s="136" t="str">
        <v>6次</v>
      </c>
      <c r="H30" s="132" t="str">
        <v>7-10次</v>
      </c>
      <c r="I30" s="132" t="str">
        <v>11-20次</v>
      </c>
      <c r="J30" s="132" t="str">
        <v>21-50次</v>
      </c>
      <c r="K30" s="132" t="str">
        <v>50次以上</v>
      </c>
      <c r="L30" s="52"/>
    </row>
    <row r="31">
      <c r="A31" s="95">
        <v>53267</v>
      </c>
      <c r="B31" s="94">
        <v>3261</v>
      </c>
      <c r="C31" s="94">
        <v>1568</v>
      </c>
      <c r="D31" s="94">
        <v>943</v>
      </c>
      <c r="E31" s="94">
        <v>606</v>
      </c>
      <c r="F31" s="94">
        <v>408</v>
      </c>
      <c r="G31" s="96">
        <v>288</v>
      </c>
      <c r="H31" s="97">
        <v>692</v>
      </c>
      <c r="I31" s="94">
        <v>559</v>
      </c>
      <c r="J31" s="94">
        <v>304</v>
      </c>
      <c r="K31" s="94">
        <v>135</v>
      </c>
      <c r="L31" s="52"/>
    </row>
    <row r="32">
      <c r="A32" s="52"/>
      <c r="B32" s="52"/>
      <c r="C32" s="52"/>
      <c r="D32" s="52"/>
      <c r="E32" s="52"/>
      <c r="F32" s="52"/>
      <c r="G32" s="100"/>
      <c r="H32" s="52"/>
      <c r="I32" s="52"/>
      <c r="J32" s="52"/>
      <c r="K32" s="52"/>
      <c r="L32" s="52"/>
    </row>
    <row r="33">
      <c r="A33" s="52"/>
      <c r="B33" s="52"/>
      <c r="C33" s="52"/>
      <c r="D33" s="52"/>
      <c r="E33" s="52"/>
      <c r="F33" s="52"/>
      <c r="G33" s="100"/>
      <c r="H33" s="52"/>
      <c r="I33" s="52"/>
      <c r="J33" s="52"/>
      <c r="K33" s="52"/>
      <c r="L33" s="52"/>
    </row>
    <row r="34">
      <c r="A34" s="52"/>
      <c r="B34" s="52"/>
      <c r="C34" s="52"/>
      <c r="D34" s="52"/>
      <c r="E34" s="52"/>
      <c r="F34" s="52"/>
      <c r="G34" s="100"/>
      <c r="H34" s="52"/>
      <c r="I34" s="52"/>
      <c r="J34" s="52"/>
      <c r="K34" s="52"/>
      <c r="L34" s="52"/>
    </row>
    <row r="35">
      <c r="A35" s="52"/>
      <c r="B35" s="52"/>
      <c r="C35" s="52"/>
      <c r="D35" s="52"/>
      <c r="E35" s="52"/>
      <c r="F35" s="52"/>
      <c r="G35" s="100"/>
      <c r="H35" s="52"/>
      <c r="I35" s="52"/>
      <c r="J35" s="52"/>
      <c r="K35" s="52"/>
      <c r="L35" s="52"/>
    </row>
    <row r="36">
      <c r="A36" s="121" t="str">
        <v>单次解读时间的分布（从首次解读，满12个月的用户）</v>
      </c>
      <c r="B36" s="52"/>
      <c r="C36" s="52"/>
      <c r="D36" s="52"/>
      <c r="E36" s="52"/>
      <c r="F36" s="52"/>
      <c r="G36" s="100"/>
      <c r="H36" s="52"/>
      <c r="I36" s="52"/>
      <c r="J36" s="52"/>
      <c r="K36" s="52"/>
      <c r="L36" s="52"/>
    </row>
    <row r="37">
      <c r="A37" s="119" t="str">
        <v>1个月（：用户数）</v>
      </c>
      <c r="B37" s="86" t="str">
        <v>2个月</v>
      </c>
      <c r="C37" s="86" t="str">
        <v>3个月</v>
      </c>
      <c r="D37" s="86" t="str">
        <v>4个月</v>
      </c>
      <c r="E37" s="86" t="str">
        <v>5个月</v>
      </c>
      <c r="F37" s="86" t="str">
        <v>6个月</v>
      </c>
      <c r="G37" s="113" t="str">
        <v>7个月</v>
      </c>
      <c r="H37" s="86" t="str">
        <v>8个月</v>
      </c>
      <c r="I37" s="86" t="str">
        <v>9个月</v>
      </c>
      <c r="J37" s="86" t="str">
        <v>10个月</v>
      </c>
      <c r="K37" s="86" t="str">
        <v>11个月</v>
      </c>
      <c r="L37" s="86" t="str">
        <v>12个月</v>
      </c>
      <c r="M37" s="86" t="str">
        <v>13个月以及以上</v>
      </c>
    </row>
    <row r="38">
      <c r="A38" s="95">
        <v>4123</v>
      </c>
      <c r="B38" s="97">
        <v>1878</v>
      </c>
      <c r="C38" s="97">
        <v>1069</v>
      </c>
      <c r="D38" s="97">
        <v>648</v>
      </c>
      <c r="E38" s="97">
        <v>383</v>
      </c>
      <c r="F38" s="97">
        <v>283</v>
      </c>
      <c r="G38" s="96">
        <v>200</v>
      </c>
      <c r="H38" s="97">
        <v>146</v>
      </c>
      <c r="I38" s="97">
        <v>91</v>
      </c>
      <c r="J38" s="97">
        <v>79</v>
      </c>
      <c r="K38" s="97">
        <v>79</v>
      </c>
      <c r="L38" s="97">
        <v>59</v>
      </c>
      <c r="M38" s="97">
        <v>175</v>
      </c>
    </row>
    <row r="39">
      <c r="G39" s="83"/>
    </row>
    <row r="40">
      <c r="A40" s="125" t="str">
        <v>按照连续解读时间统计用户分布（从首次解读，满12个月的用户）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</row>
    <row r="41">
      <c r="A41" s="109" t="str">
        <v>只连续使用1个月</v>
      </c>
      <c r="B41" s="106" t="str">
        <v>只连续使用2个月</v>
      </c>
      <c r="C41" s="106" t="str">
        <v>只连续使用3个月</v>
      </c>
      <c r="D41" s="106" t="str">
        <v>只连续使用4个月</v>
      </c>
      <c r="E41" s="106" t="str">
        <v>只连续使用5个月</v>
      </c>
      <c r="F41" s="106" t="str">
        <v>只连续使用6个月</v>
      </c>
      <c r="G41" s="106" t="str">
        <v>只连续使用7个月</v>
      </c>
      <c r="H41" s="106" t="str">
        <v>只连续使用8个月</v>
      </c>
      <c r="I41" s="106" t="str">
        <v>只连续使用9个月</v>
      </c>
      <c r="J41" s="106" t="str">
        <v>只连续使用10个月</v>
      </c>
      <c r="K41" s="108" t="str">
        <v>只连续使用11个月</v>
      </c>
      <c r="L41" s="107" t="str">
        <v>只连续使用12个月</v>
      </c>
      <c r="M41" s="107" t="str">
        <v>12个月以上</v>
      </c>
    </row>
    <row r="42">
      <c r="A42" s="118">
        <v>6614</v>
      </c>
      <c r="B42" s="115">
        <v>1320</v>
      </c>
      <c r="C42" s="115">
        <v>505</v>
      </c>
      <c r="D42" s="115">
        <v>245</v>
      </c>
      <c r="E42" s="115">
        <v>150</v>
      </c>
      <c r="F42" s="115">
        <v>112</v>
      </c>
      <c r="G42" s="115">
        <v>59</v>
      </c>
      <c r="H42" s="115">
        <v>34</v>
      </c>
      <c r="I42" s="115">
        <v>38</v>
      </c>
      <c r="J42" s="115">
        <v>30</v>
      </c>
      <c r="K42" s="116">
        <v>27</v>
      </c>
      <c r="L42" s="114">
        <v>18</v>
      </c>
      <c r="M42" s="117">
        <v>61</v>
      </c>
    </row>
    <row r="43">
      <c r="G43" s="83"/>
    </row>
    <row r="44">
      <c r="G44" s="83"/>
    </row>
    <row r="45">
      <c r="A45" s="121" t="str">
        <v>单次解读时间的分布（从首次解读，满12个月的用户）（单次支付+免费次数）</v>
      </c>
      <c r="B45" s="52"/>
      <c r="C45" s="52"/>
      <c r="D45" s="52"/>
      <c r="E45" s="52"/>
      <c r="F45" s="52"/>
      <c r="G45" s="100"/>
      <c r="H45" s="52"/>
      <c r="I45" s="52"/>
      <c r="J45" s="52"/>
      <c r="K45" s="52"/>
      <c r="L45" s="52"/>
    </row>
    <row r="46">
      <c r="A46" s="119" t="str">
        <v>1个月（：用户数）</v>
      </c>
      <c r="B46" s="86" t="str">
        <v>2个月</v>
      </c>
      <c r="C46" s="86" t="str">
        <v>3个月</v>
      </c>
      <c r="D46" s="86" t="str">
        <v>4个月</v>
      </c>
      <c r="E46" s="86" t="str">
        <v>5个月</v>
      </c>
      <c r="F46" s="86" t="str">
        <v>6个月</v>
      </c>
      <c r="G46" s="113" t="str">
        <v>7个月</v>
      </c>
      <c r="H46" s="86" t="str">
        <v>8个月</v>
      </c>
      <c r="I46" s="86" t="str">
        <v>9个月</v>
      </c>
      <c r="J46" s="86" t="str">
        <v>10个月</v>
      </c>
      <c r="K46" s="86" t="str">
        <v>11个月</v>
      </c>
      <c r="L46" s="86" t="str">
        <v>12个月</v>
      </c>
      <c r="M46" s="86" t="str">
        <v>13个月以及以上</v>
      </c>
    </row>
    <row r="47">
      <c r="A47" s="95">
        <v>75304</v>
      </c>
      <c r="B47" s="97">
        <v>26875</v>
      </c>
      <c r="C47" s="97">
        <v>9901</v>
      </c>
      <c r="D47" s="97">
        <v>3913</v>
      </c>
      <c r="E47" s="97">
        <v>1706</v>
      </c>
      <c r="F47" s="97">
        <v>995</v>
      </c>
      <c r="G47" s="96">
        <v>539</v>
      </c>
      <c r="H47" s="97">
        <v>371</v>
      </c>
      <c r="I47" s="97">
        <v>236</v>
      </c>
      <c r="J47" s="97">
        <v>195</v>
      </c>
      <c r="K47" s="97">
        <v>134</v>
      </c>
      <c r="L47" s="97">
        <v>102</v>
      </c>
      <c r="M47" s="97">
        <v>293</v>
      </c>
    </row>
    <row r="48">
      <c r="G48" s="83"/>
    </row>
    <row r="49">
      <c r="A49" s="110" t="str">
        <v>按照连续解读时间统计用户分布（从首次解读，满12个月的用户）（单次支付+免费次数）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</row>
    <row r="50">
      <c r="A50" s="109" t="str">
        <v>只连续使用1个月</v>
      </c>
      <c r="B50" s="106" t="str">
        <v>只连续使用2个月</v>
      </c>
      <c r="C50" s="106" t="str">
        <v>只连续使用3个月</v>
      </c>
      <c r="D50" s="106" t="str">
        <v>只连续使用4个月</v>
      </c>
      <c r="E50" s="106" t="str">
        <v>只连续使用5个月</v>
      </c>
      <c r="F50" s="106" t="str">
        <v>只连续使用6个月</v>
      </c>
      <c r="G50" s="106" t="str">
        <v>只连续使用7个月</v>
      </c>
      <c r="H50" s="106" t="str">
        <v>只连续使用8个月</v>
      </c>
      <c r="I50" s="106" t="str">
        <v>只连续使用9个月</v>
      </c>
      <c r="J50" s="106" t="str">
        <v>只连续使用10个月</v>
      </c>
      <c r="K50" s="108" t="str">
        <v>只连续使用11个月</v>
      </c>
      <c r="L50" s="107" t="str">
        <v>只连续使用12个月</v>
      </c>
      <c r="M50" s="107" t="str">
        <v>12个月以上</v>
      </c>
    </row>
    <row r="51">
      <c r="A51" s="118">
        <v>93219</v>
      </c>
      <c r="B51" s="115">
        <v>20136</v>
      </c>
      <c r="C51" s="115">
        <v>4763</v>
      </c>
      <c r="D51" s="115">
        <v>1321</v>
      </c>
      <c r="E51" s="115">
        <v>433</v>
      </c>
      <c r="F51" s="115">
        <v>231</v>
      </c>
      <c r="G51" s="115">
        <v>134</v>
      </c>
      <c r="H51" s="115">
        <v>82</v>
      </c>
      <c r="I51" s="115">
        <v>57</v>
      </c>
      <c r="J51" s="115">
        <v>40</v>
      </c>
      <c r="K51" s="116">
        <v>29</v>
      </c>
      <c r="L51" s="114">
        <v>30</v>
      </c>
      <c r="M51" s="117">
        <v>89</v>
      </c>
    </row>
    <row r="52">
      <c r="G52" s="83"/>
    </row>
    <row r="53">
      <c r="G53" s="83"/>
    </row>
    <row r="54">
      <c r="G54" s="83"/>
    </row>
    <row r="55">
      <c r="G55" s="83"/>
    </row>
    <row r="56">
      <c r="G56" s="83"/>
    </row>
    <row r="57">
      <c r="G57" s="83"/>
    </row>
    <row r="58">
      <c r="G58" s="83"/>
    </row>
    <row r="59">
      <c r="G59" s="83"/>
    </row>
    <row r="60">
      <c r="G60" s="83"/>
    </row>
    <row r="61">
      <c r="G61" s="83"/>
    </row>
    <row r="62">
      <c r="G62" s="83"/>
    </row>
    <row r="63">
      <c r="G63" s="83"/>
    </row>
    <row r="64">
      <c r="G64" s="83"/>
    </row>
    <row r="65">
      <c r="G65" s="83"/>
    </row>
    <row r="66">
      <c r="G66" s="83"/>
    </row>
    <row r="67">
      <c r="G67" s="83"/>
    </row>
    <row r="68">
      <c r="G68" s="83"/>
    </row>
    <row r="69">
      <c r="G69" s="83"/>
    </row>
    <row r="70">
      <c r="G70" s="83"/>
    </row>
    <row r="71">
      <c r="G71" s="83"/>
    </row>
    <row r="72">
      <c r="G72" s="83"/>
    </row>
    <row r="73">
      <c r="G73" s="83"/>
    </row>
    <row r="74">
      <c r="G74" s="83"/>
    </row>
    <row r="75">
      <c r="G75" s="83"/>
    </row>
    <row r="76">
      <c r="G76" s="83"/>
    </row>
    <row r="77">
      <c r="G77" s="83"/>
    </row>
    <row r="78">
      <c r="G78" s="83"/>
    </row>
    <row r="79">
      <c r="G79" s="83"/>
    </row>
    <row r="80">
      <c r="G80" s="83"/>
    </row>
    <row r="81">
      <c r="G81" s="83"/>
    </row>
    <row r="82">
      <c r="G82" s="83"/>
    </row>
    <row r="83">
      <c r="G83" s="83"/>
    </row>
    <row r="84">
      <c r="G84" s="83"/>
    </row>
    <row r="85">
      <c r="G85" s="83"/>
    </row>
    <row r="86">
      <c r="G86" s="83"/>
    </row>
    <row r="87">
      <c r="G87" s="83"/>
    </row>
    <row r="88">
      <c r="G88" s="83"/>
    </row>
    <row r="89">
      <c r="G89" s="83"/>
    </row>
    <row r="90">
      <c r="G90" s="83"/>
    </row>
    <row r="91">
      <c r="G91" s="83"/>
    </row>
    <row r="92">
      <c r="G92" s="83"/>
    </row>
    <row r="93">
      <c r="G93" s="83"/>
    </row>
    <row r="94">
      <c r="G94" s="83"/>
    </row>
    <row r="95">
      <c r="G95" s="83"/>
    </row>
    <row r="96">
      <c r="G96" s="83"/>
    </row>
    <row r="97">
      <c r="G97" s="83"/>
    </row>
    <row r="98">
      <c r="G98" s="83"/>
    </row>
    <row r="99">
      <c r="G99" s="83"/>
    </row>
    <row r="100">
      <c r="G100" s="83"/>
    </row>
    <row r="101">
      <c r="G101" s="83"/>
    </row>
    <row r="102">
      <c r="G102" s="83"/>
    </row>
    <row r="103">
      <c r="G103" s="83"/>
    </row>
    <row r="104">
      <c r="G104" s="83"/>
    </row>
    <row r="105">
      <c r="G105" s="83"/>
    </row>
    <row r="106">
      <c r="G106" s="83"/>
    </row>
    <row r="107">
      <c r="G107" s="83"/>
    </row>
    <row r="108">
      <c r="G108" s="83"/>
    </row>
    <row r="109">
      <c r="G109" s="83"/>
    </row>
    <row r="110">
      <c r="G110" s="83"/>
    </row>
    <row r="111">
      <c r="G111" s="83"/>
    </row>
    <row r="112">
      <c r="G112" s="83"/>
    </row>
    <row r="113">
      <c r="G113" s="83"/>
    </row>
    <row r="114">
      <c r="G114" s="83"/>
    </row>
    <row r="115">
      <c r="G115" s="83"/>
    </row>
    <row r="116">
      <c r="G116" s="83"/>
    </row>
    <row r="117">
      <c r="G117" s="83"/>
    </row>
    <row r="118">
      <c r="G118" s="83"/>
    </row>
    <row r="119">
      <c r="G119" s="83"/>
    </row>
    <row r="120">
      <c r="G120" s="83"/>
    </row>
    <row r="121">
      <c r="G121" s="83"/>
    </row>
    <row r="122">
      <c r="G122" s="83"/>
    </row>
    <row r="123">
      <c r="G123" s="83"/>
    </row>
    <row r="124">
      <c r="G124" s="83"/>
    </row>
    <row r="125">
      <c r="G125" s="83"/>
    </row>
    <row r="126">
      <c r="G126" s="83"/>
    </row>
    <row r="127">
      <c r="G127" s="83"/>
    </row>
    <row r="128">
      <c r="G128" s="83"/>
    </row>
    <row r="129">
      <c r="G129" s="83"/>
    </row>
    <row r="130">
      <c r="G130" s="83"/>
    </row>
    <row r="131">
      <c r="G131" s="83"/>
    </row>
    <row r="132">
      <c r="G132" s="83"/>
    </row>
    <row r="133">
      <c r="G133" s="83"/>
    </row>
    <row r="134">
      <c r="G134" s="83"/>
    </row>
    <row r="135">
      <c r="G135" s="83"/>
    </row>
    <row r="136">
      <c r="G136" s="83"/>
    </row>
    <row r="137">
      <c r="G137" s="83"/>
    </row>
    <row r="138">
      <c r="G138" s="83"/>
    </row>
    <row r="139">
      <c r="G139" s="83"/>
    </row>
    <row r="140">
      <c r="G140" s="83"/>
    </row>
    <row r="141">
      <c r="G141" s="83"/>
    </row>
    <row r="142">
      <c r="G142" s="83"/>
    </row>
    <row r="143">
      <c r="G143" s="83"/>
    </row>
    <row r="144">
      <c r="G144" s="83"/>
    </row>
    <row r="145">
      <c r="G145" s="83"/>
    </row>
    <row r="146">
      <c r="G146" s="83"/>
    </row>
    <row r="147">
      <c r="G147" s="83"/>
    </row>
    <row r="148">
      <c r="G148" s="83"/>
    </row>
    <row r="149">
      <c r="G149" s="83"/>
    </row>
    <row r="150">
      <c r="G150" s="83"/>
    </row>
    <row r="151">
      <c r="G151" s="83"/>
    </row>
    <row r="152">
      <c r="G152" s="83"/>
    </row>
    <row r="153">
      <c r="G153" s="83"/>
    </row>
    <row r="154">
      <c r="G154" s="83"/>
    </row>
    <row r="155">
      <c r="G155" s="83"/>
    </row>
    <row r="156">
      <c r="G156" s="83"/>
    </row>
    <row r="157">
      <c r="G157" s="83"/>
    </row>
    <row r="158">
      <c r="G158" s="83"/>
    </row>
    <row r="159">
      <c r="G159" s="83"/>
    </row>
    <row r="160">
      <c r="G160" s="83"/>
    </row>
    <row r="161">
      <c r="G161" s="83"/>
    </row>
    <row r="162">
      <c r="G162" s="83"/>
    </row>
    <row r="163">
      <c r="G163" s="83"/>
    </row>
    <row r="164">
      <c r="G164" s="83"/>
    </row>
    <row r="165">
      <c r="G165" s="83"/>
    </row>
    <row r="166">
      <c r="G166" s="83"/>
    </row>
    <row r="167">
      <c r="G167" s="83"/>
    </row>
    <row r="168">
      <c r="G168" s="83"/>
    </row>
    <row r="169">
      <c r="G169" s="83"/>
    </row>
    <row r="170">
      <c r="G170" s="83"/>
    </row>
    <row r="171">
      <c r="G171" s="83"/>
    </row>
    <row r="172">
      <c r="G172" s="83"/>
    </row>
    <row r="173">
      <c r="G173" s="83"/>
    </row>
    <row r="174">
      <c r="G174" s="83"/>
    </row>
    <row r="175">
      <c r="G175" s="83"/>
    </row>
    <row r="176">
      <c r="G176" s="83"/>
    </row>
    <row r="177">
      <c r="G177" s="83"/>
    </row>
    <row r="178">
      <c r="G178" s="83"/>
    </row>
    <row r="179">
      <c r="G179" s="83"/>
    </row>
    <row r="180">
      <c r="G180" s="83"/>
    </row>
    <row r="181">
      <c r="G181" s="83"/>
    </row>
    <row r="182">
      <c r="G182" s="83"/>
    </row>
    <row r="183">
      <c r="G183" s="83"/>
    </row>
    <row r="184">
      <c r="G184" s="83"/>
    </row>
    <row r="185">
      <c r="G185" s="83"/>
    </row>
    <row r="186">
      <c r="G186" s="83"/>
    </row>
    <row r="187">
      <c r="G187" s="83"/>
    </row>
    <row r="188">
      <c r="G188" s="83"/>
    </row>
    <row r="189">
      <c r="G189" s="83"/>
    </row>
    <row r="190">
      <c r="G190" s="83"/>
    </row>
    <row r="191">
      <c r="G191" s="83"/>
    </row>
    <row r="192">
      <c r="G192" s="83"/>
    </row>
    <row r="193">
      <c r="G193" s="83"/>
    </row>
    <row r="194">
      <c r="G194" s="83"/>
    </row>
    <row r="195">
      <c r="G195" s="83"/>
    </row>
  </sheetData>
  <mergeCells>
    <mergeCell ref="A10:C10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