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zsp\zshipu-blog-gen\stock003\content\post\20251027\"/>
    </mc:Choice>
  </mc:AlternateContent>
  <xr:revisionPtr revIDLastSave="0" documentId="13_ncr:1_{7BEE4327-908C-45E9-B117-1CA2B664BCA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费用清单" sheetId="2" r:id="rId1"/>
    <sheet name="标准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" l="1"/>
  <c r="D9" i="2"/>
  <c r="D8" i="2"/>
  <c r="D7" i="2"/>
  <c r="D6" i="2"/>
  <c r="D5" i="2"/>
  <c r="D4" i="2"/>
  <c r="D3" i="2"/>
  <c r="D2" i="2"/>
  <c r="D14" i="2" l="1"/>
</calcChain>
</file>

<file path=xl/sharedStrings.xml><?xml version="1.0" encoding="utf-8"?>
<sst xmlns="http://schemas.openxmlformats.org/spreadsheetml/2006/main" count="115" uniqueCount="70">
  <si>
    <t>赔偿项目</t>
  </si>
  <si>
    <t>计算明细</t>
  </si>
  <si>
    <t>医疗费</t>
  </si>
  <si>
    <t>门诊 + 住院 + 检查 + 药品</t>
  </si>
  <si>
    <t>医疗费-李亮</t>
  </si>
  <si>
    <t>误工费-李亮</t>
  </si>
  <si>
    <t>工资 30200</t>
  </si>
  <si>
    <t>护理费-李亮</t>
  </si>
  <si>
    <t>误工费</t>
  </si>
  <si>
    <t>工资</t>
  </si>
  <si>
    <t>日期</t>
  </si>
  <si>
    <t>项目</t>
  </si>
  <si>
    <t>费用</t>
  </si>
  <si>
    <t>护理费</t>
  </si>
  <si>
    <t xml:space="preserve">19天 </t>
  </si>
  <si>
    <t>急诊</t>
  </si>
  <si>
    <t>住院</t>
  </si>
  <si>
    <t>出院-61天  61*101.5</t>
  </si>
  <si>
    <t>门诊</t>
  </si>
  <si>
    <t>病假条</t>
  </si>
  <si>
    <t>护理费-出院</t>
  </si>
  <si>
    <t>交通费</t>
  </si>
  <si>
    <t>就医及处理事故交通费用</t>
  </si>
  <si>
    <t>检查</t>
  </si>
  <si>
    <t>住院伙食补助</t>
  </si>
  <si>
    <t>100 元 / 天 ×19 天</t>
  </si>
  <si>
    <t>营养费</t>
  </si>
  <si>
    <t>30 元 / 天 ×80 天</t>
  </si>
  <si>
    <t>住院费用</t>
  </si>
  <si>
    <t>电瓶车维修费</t>
  </si>
  <si>
    <t>更换配件 + 修复</t>
  </si>
  <si>
    <t>其他住院费用</t>
  </si>
  <si>
    <t>财产损失费用</t>
  </si>
  <si>
    <t>小孩子眼镜+衣物</t>
  </si>
  <si>
    <t>交通费-李亮</t>
  </si>
  <si>
    <t>住院伙食补助-李亮</t>
  </si>
  <si>
    <t>伤残鉴定</t>
  </si>
  <si>
    <t>申请法院代为鉴定，对方承担鉴定费用</t>
  </si>
  <si>
    <t>精神损害抚慰金</t>
  </si>
  <si>
    <t>医药</t>
  </si>
  <si>
    <t>去医院复查 家人陪同</t>
  </si>
  <si>
    <t>住院伙食</t>
  </si>
  <si>
    <t>家人误工费</t>
  </si>
  <si>
    <t xml:space="preserve">家人请假陪护 </t>
  </si>
  <si>
    <t>总计</t>
  </si>
  <si>
    <t>数字影像</t>
  </si>
  <si>
    <t>货啦啦托运事故电瓶车</t>
  </si>
  <si>
    <t>电瓶车维修或更换-李亮</t>
  </si>
  <si>
    <t>托运事故电瓶车打车</t>
  </si>
  <si>
    <t>维修</t>
  </si>
  <si>
    <t>营养费-李亮</t>
  </si>
  <si>
    <t>财产损失费</t>
  </si>
  <si>
    <t>医疗费-李旻翰</t>
  </si>
  <si>
    <t>眼镜</t>
  </si>
  <si>
    <t>检查费用</t>
  </si>
  <si>
    <t>护腰</t>
  </si>
  <si>
    <t>门诊费</t>
  </si>
  <si>
    <t>小孩子-裤子</t>
  </si>
  <si>
    <t>药</t>
  </si>
  <si>
    <t>大人-外衣</t>
  </si>
  <si>
    <t>检查费</t>
  </si>
  <si>
    <t>大人-裤子</t>
  </si>
  <si>
    <t>小孩子-外衣</t>
  </si>
  <si>
    <t>托运事故电瓶车发票</t>
  </si>
  <si>
    <t>去处理事故电瓶车打车</t>
  </si>
  <si>
    <t>住院伙食补助：100 元 / 天 × 住院天数（法定标准）</t>
  </si>
  <si>
    <t>营养费：30 元 / 天 × 营养期（需医嘱）</t>
  </si>
  <si>
    <t>护理费：住院约203 元 / 天，出院约101.5 元 / 天</t>
  </si>
  <si>
    <t>交通费：同城30 元 / 天 × 就医次数</t>
  </si>
  <si>
    <t xml:space="preserve">金额 (元)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</si>
</sst>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9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4" fontId="4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57" fontId="2" fillId="0" borderId="9" xfId="0" applyNumberFormat="1" applyFont="1" applyBorder="1" applyAlignment="1">
      <alignment vertical="center"/>
    </xf>
    <xf numFmtId="14" fontId="3" fillId="0" borderId="10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57" fontId="4" fillId="0" borderId="13" xfId="0" applyNumberFormat="1" applyFont="1" applyBorder="1" applyAlignment="1">
      <alignment vertical="center"/>
    </xf>
    <xf numFmtId="14" fontId="3" fillId="0" borderId="14" xfId="0" applyNumberFormat="1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42</xdr:row>
      <xdr:rowOff>76200</xdr:rowOff>
    </xdr:from>
    <xdr:to>
      <xdr:col>17</xdr:col>
      <xdr:colOff>438150</xdr:colOff>
      <xdr:row>56</xdr:row>
      <xdr:rowOff>238125</xdr:rowOff>
    </xdr:to>
    <xdr:pic>
      <xdr:nvPicPr>
        <xdr:cNvPr id="2" name="Picture 2" descr="evmrU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0</xdr:colOff>
      <xdr:row>58</xdr:row>
      <xdr:rowOff>0</xdr:rowOff>
    </xdr:from>
    <xdr:to>
      <xdr:col>13</xdr:col>
      <xdr:colOff>238125</xdr:colOff>
      <xdr:row>81</xdr:row>
      <xdr:rowOff>0</xdr:rowOff>
    </xdr:to>
    <xdr:pic>
      <xdr:nvPicPr>
        <xdr:cNvPr id="3" name="Picture 3" descr="TVDoc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10</xdr:col>
      <xdr:colOff>57150</xdr:colOff>
      <xdr:row>85</xdr:row>
      <xdr:rowOff>19050</xdr:rowOff>
    </xdr:from>
    <xdr:to>
      <xdr:col>12</xdr:col>
      <xdr:colOff>57150</xdr:colOff>
      <xdr:row>103</xdr:row>
      <xdr:rowOff>104775</xdr:rowOff>
    </xdr:to>
    <xdr:pic>
      <xdr:nvPicPr>
        <xdr:cNvPr id="4" name="Picture 4" descr="HYXzfY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13</xdr:col>
      <xdr:colOff>0</xdr:colOff>
      <xdr:row>85</xdr:row>
      <xdr:rowOff>0</xdr:rowOff>
    </xdr:from>
    <xdr:to>
      <xdr:col>16</xdr:col>
      <xdr:colOff>76200</xdr:colOff>
      <xdr:row>103</xdr:row>
      <xdr:rowOff>85725</xdr:rowOff>
    </xdr:to>
    <xdr:pic>
      <xdr:nvPicPr>
        <xdr:cNvPr id="5" name="Picture 5" descr="CtTeYz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9438-11B8-4AF4-84BB-01CE823ABA88}">
  <sheetPr>
    <outlinePr summaryBelow="0" summaryRight="0"/>
  </sheetPr>
  <dimension ref="A1:P85"/>
  <sheetViews>
    <sheetView tabSelected="1" workbookViewId="0">
      <selection activeCell="C23" sqref="C23"/>
    </sheetView>
  </sheetViews>
  <sheetFormatPr defaultColWidth="14" defaultRowHeight="12.75" x14ac:dyDescent="0.35"/>
  <cols>
    <col min="2" max="2" width="30" customWidth="1"/>
    <col min="3" max="4" width="12.92578125" customWidth="1"/>
    <col min="5" max="5" width="5.5" customWidth="1"/>
    <col min="6" max="6" width="10" customWidth="1"/>
    <col min="7" max="7" width="11" customWidth="1"/>
    <col min="8" max="8" width="9" customWidth="1"/>
    <col min="9" max="9" width="3" customWidth="1"/>
    <col min="10" max="10" width="10" customWidth="1"/>
    <col min="11" max="11" width="17" customWidth="1"/>
    <col min="12" max="12" width="13" customWidth="1"/>
    <col min="13" max="13" width="4" customWidth="1"/>
    <col min="14" max="15" width="10" customWidth="1"/>
    <col min="16" max="16" width="8" customWidth="1"/>
  </cols>
  <sheetData>
    <row r="1" spans="1:16" x14ac:dyDescent="0.35">
      <c r="A1" s="12" t="s">
        <v>0</v>
      </c>
      <c r="B1" s="12" t="s">
        <v>1</v>
      </c>
      <c r="C1" s="17" t="s">
        <v>69</v>
      </c>
      <c r="D1" s="12"/>
    </row>
    <row r="2" spans="1:16" x14ac:dyDescent="0.35">
      <c r="A2" s="3" t="s">
        <v>2</v>
      </c>
      <c r="B2" s="3" t="s">
        <v>3</v>
      </c>
      <c r="C2" s="18">
        <v>14350.64</v>
      </c>
      <c r="D2" s="3">
        <f>SUM(H4:H17)</f>
        <v>14350.64</v>
      </c>
      <c r="F2" s="2" t="s">
        <v>4</v>
      </c>
      <c r="G2" s="1"/>
      <c r="H2" s="1"/>
      <c r="J2" s="2" t="s">
        <v>5</v>
      </c>
      <c r="K2" s="1" t="s">
        <v>6</v>
      </c>
      <c r="L2" s="1"/>
      <c r="N2" s="2" t="s">
        <v>7</v>
      </c>
      <c r="O2" s="1"/>
      <c r="P2" s="1"/>
    </row>
    <row r="3" spans="1:16" x14ac:dyDescent="0.35">
      <c r="A3" s="3" t="s">
        <v>8</v>
      </c>
      <c r="B3" s="3" t="s">
        <v>9</v>
      </c>
      <c r="C3" s="18">
        <v>72382.759999999995</v>
      </c>
      <c r="D3" s="3">
        <f>SUM(L4:L7)</f>
        <v>72382.759999999995</v>
      </c>
      <c r="F3" s="12" t="s">
        <v>10</v>
      </c>
      <c r="G3" s="12" t="s">
        <v>11</v>
      </c>
      <c r="H3" s="12" t="s">
        <v>12</v>
      </c>
      <c r="J3" s="12" t="s">
        <v>10</v>
      </c>
      <c r="K3" s="12" t="s">
        <v>11</v>
      </c>
      <c r="L3" s="12" t="s">
        <v>12</v>
      </c>
      <c r="N3" s="12" t="s">
        <v>10</v>
      </c>
      <c r="O3" s="12" t="s">
        <v>11</v>
      </c>
      <c r="P3" s="12" t="s">
        <v>12</v>
      </c>
    </row>
    <row r="4" spans="1:16" x14ac:dyDescent="0.35">
      <c r="A4" s="3" t="s">
        <v>13</v>
      </c>
      <c r="B4" s="3" t="s">
        <v>14</v>
      </c>
      <c r="C4" s="18">
        <v>4430</v>
      </c>
      <c r="D4" s="3">
        <f>P4</f>
        <v>4430</v>
      </c>
      <c r="F4" s="4">
        <v>45758</v>
      </c>
      <c r="G4" s="3" t="s">
        <v>15</v>
      </c>
      <c r="H4" s="3">
        <v>250</v>
      </c>
      <c r="J4" s="9">
        <v>45748</v>
      </c>
      <c r="K4" s="3" t="s">
        <v>16</v>
      </c>
      <c r="L4" s="3">
        <v>17362.759999999998</v>
      </c>
      <c r="N4" s="4">
        <v>45777</v>
      </c>
      <c r="O4" s="3" t="s">
        <v>13</v>
      </c>
      <c r="P4" s="3">
        <v>4430</v>
      </c>
    </row>
    <row r="5" spans="1:16" x14ac:dyDescent="0.35">
      <c r="A5" s="3" t="s">
        <v>13</v>
      </c>
      <c r="B5" s="3" t="s">
        <v>17</v>
      </c>
      <c r="C5" s="18">
        <v>6191.5</v>
      </c>
      <c r="D5" s="3">
        <f>P5</f>
        <v>6191.5</v>
      </c>
      <c r="F5" s="4">
        <v>45758</v>
      </c>
      <c r="G5" s="3" t="s">
        <v>18</v>
      </c>
      <c r="H5" s="3">
        <v>25</v>
      </c>
      <c r="J5" s="9">
        <v>45778</v>
      </c>
      <c r="K5" s="3" t="s">
        <v>19</v>
      </c>
      <c r="L5" s="3">
        <v>27510</v>
      </c>
      <c r="N5" s="9">
        <v>45778</v>
      </c>
      <c r="O5" s="3" t="s">
        <v>20</v>
      </c>
      <c r="P5" s="3">
        <v>6191.5</v>
      </c>
    </row>
    <row r="6" spans="1:16" x14ac:dyDescent="0.35">
      <c r="A6" s="3" t="s">
        <v>21</v>
      </c>
      <c r="B6" s="3" t="s">
        <v>22</v>
      </c>
      <c r="C6" s="18">
        <v>259.55</v>
      </c>
      <c r="D6" s="3">
        <f>SUM(L12:L16)</f>
        <v>259.55</v>
      </c>
      <c r="F6" s="4">
        <v>45758</v>
      </c>
      <c r="G6" s="3" t="s">
        <v>23</v>
      </c>
      <c r="H6" s="3">
        <v>823.07</v>
      </c>
      <c r="J6" s="9">
        <v>45809</v>
      </c>
      <c r="K6" s="3" t="s">
        <v>19</v>
      </c>
      <c r="L6" s="3">
        <v>27510</v>
      </c>
      <c r="N6" s="3"/>
      <c r="O6" s="3"/>
      <c r="P6" s="3"/>
    </row>
    <row r="7" spans="1:16" x14ac:dyDescent="0.35">
      <c r="A7" s="3" t="s">
        <v>24</v>
      </c>
      <c r="B7" s="3" t="s">
        <v>25</v>
      </c>
      <c r="C7" s="18">
        <v>1900</v>
      </c>
      <c r="D7" s="3">
        <f>P12</f>
        <v>1900</v>
      </c>
      <c r="F7" s="4">
        <v>45759</v>
      </c>
      <c r="G7" s="3" t="s">
        <v>23</v>
      </c>
      <c r="H7" s="3">
        <v>42</v>
      </c>
      <c r="J7" s="9"/>
      <c r="K7" s="3"/>
      <c r="L7" s="3"/>
      <c r="N7" s="3"/>
      <c r="O7" s="3"/>
      <c r="P7" s="3"/>
    </row>
    <row r="8" spans="1:16" x14ac:dyDescent="0.35">
      <c r="A8" s="3" t="s">
        <v>26</v>
      </c>
      <c r="B8" s="3" t="s">
        <v>27</v>
      </c>
      <c r="C8" s="18">
        <v>2400</v>
      </c>
      <c r="D8" s="3">
        <f>L20</f>
        <v>2400</v>
      </c>
      <c r="F8" s="4">
        <v>45778</v>
      </c>
      <c r="G8" s="3" t="s">
        <v>28</v>
      </c>
      <c r="H8" s="3">
        <v>11520.13</v>
      </c>
      <c r="J8" s="3"/>
      <c r="K8" s="3"/>
      <c r="L8" s="3"/>
      <c r="N8" s="3"/>
      <c r="O8" s="3"/>
      <c r="P8" s="3"/>
    </row>
    <row r="9" spans="1:16" x14ac:dyDescent="0.35">
      <c r="A9" s="3" t="s">
        <v>29</v>
      </c>
      <c r="B9" s="3" t="s">
        <v>30</v>
      </c>
      <c r="C9" s="18">
        <v>836</v>
      </c>
      <c r="D9" s="3">
        <f>P17</f>
        <v>836</v>
      </c>
      <c r="F9" s="4">
        <v>45778</v>
      </c>
      <c r="G9" s="3" t="s">
        <v>31</v>
      </c>
      <c r="H9" s="3">
        <v>446</v>
      </c>
    </row>
    <row r="10" spans="1:16" x14ac:dyDescent="0.35">
      <c r="A10" s="3" t="s">
        <v>32</v>
      </c>
      <c r="B10" s="3" t="s">
        <v>33</v>
      </c>
      <c r="C10" s="18">
        <v>5728.18</v>
      </c>
      <c r="D10" s="3">
        <f>SUM(L25:L30)</f>
        <v>5728.18</v>
      </c>
      <c r="F10" s="4">
        <v>45806</v>
      </c>
      <c r="G10" s="3" t="s">
        <v>18</v>
      </c>
      <c r="H10" s="3">
        <v>15</v>
      </c>
      <c r="J10" s="2" t="s">
        <v>34</v>
      </c>
      <c r="K10" s="1"/>
      <c r="L10" s="1"/>
      <c r="N10" s="2" t="s">
        <v>35</v>
      </c>
      <c r="O10" s="1"/>
      <c r="P10" s="1"/>
    </row>
    <row r="11" spans="1:16" x14ac:dyDescent="0.35">
      <c r="A11" s="3" t="s">
        <v>36</v>
      </c>
      <c r="B11" s="3" t="s">
        <v>37</v>
      </c>
      <c r="C11" s="18"/>
      <c r="D11" s="3"/>
      <c r="F11" s="4">
        <v>45806</v>
      </c>
      <c r="G11" s="3" t="s">
        <v>23</v>
      </c>
      <c r="H11" s="3">
        <v>90</v>
      </c>
      <c r="J11" s="12" t="s">
        <v>10</v>
      </c>
      <c r="K11" s="12" t="s">
        <v>11</v>
      </c>
      <c r="L11" s="12" t="s">
        <v>12</v>
      </c>
      <c r="N11" s="12" t="s">
        <v>10</v>
      </c>
      <c r="O11" s="12" t="s">
        <v>11</v>
      </c>
      <c r="P11" s="12" t="s">
        <v>12</v>
      </c>
    </row>
    <row r="12" spans="1:16" x14ac:dyDescent="0.35">
      <c r="A12" s="3" t="s">
        <v>38</v>
      </c>
      <c r="B12" s="3"/>
      <c r="C12" s="18"/>
      <c r="D12" s="3"/>
      <c r="F12" s="4">
        <v>45806</v>
      </c>
      <c r="G12" s="3" t="s">
        <v>39</v>
      </c>
      <c r="H12" s="3">
        <v>474.5</v>
      </c>
      <c r="J12" s="4">
        <v>45806</v>
      </c>
      <c r="K12" s="3" t="s">
        <v>40</v>
      </c>
      <c r="L12" s="3">
        <v>60</v>
      </c>
      <c r="N12" s="9">
        <v>45748</v>
      </c>
      <c r="O12" s="3" t="s">
        <v>41</v>
      </c>
      <c r="P12" s="3">
        <v>1900</v>
      </c>
    </row>
    <row r="13" spans="1:16" x14ac:dyDescent="0.35">
      <c r="A13" s="3" t="s">
        <v>42</v>
      </c>
      <c r="B13" s="3" t="s">
        <v>43</v>
      </c>
      <c r="C13" s="18"/>
      <c r="D13" s="3"/>
      <c r="F13" s="4">
        <v>45834</v>
      </c>
      <c r="G13" s="3" t="s">
        <v>18</v>
      </c>
      <c r="H13" s="3">
        <v>70</v>
      </c>
      <c r="J13" s="4">
        <v>45834</v>
      </c>
      <c r="K13" s="3" t="s">
        <v>40</v>
      </c>
      <c r="L13" s="3">
        <v>60</v>
      </c>
      <c r="N13" s="3"/>
      <c r="O13" s="3"/>
      <c r="P13" s="3"/>
    </row>
    <row r="14" spans="1:16" x14ac:dyDescent="0.35">
      <c r="A14" s="3" t="s">
        <v>44</v>
      </c>
      <c r="B14" s="3"/>
      <c r="C14" s="18">
        <v>108478.63</v>
      </c>
      <c r="D14" s="3">
        <f>SUM(D2:D13)</f>
        <v>108478.63</v>
      </c>
      <c r="F14" s="4">
        <v>45834</v>
      </c>
      <c r="G14" s="3" t="s">
        <v>23</v>
      </c>
      <c r="H14" s="3">
        <v>90</v>
      </c>
      <c r="J14" s="4">
        <v>45838</v>
      </c>
      <c r="K14" s="3" t="s">
        <v>40</v>
      </c>
      <c r="L14" s="3">
        <v>60</v>
      </c>
    </row>
    <row r="15" spans="1:16" x14ac:dyDescent="0.35">
      <c r="F15" s="4">
        <v>45834</v>
      </c>
      <c r="G15" s="3" t="s">
        <v>45</v>
      </c>
      <c r="H15" s="3">
        <v>280</v>
      </c>
      <c r="J15" s="4">
        <v>45762</v>
      </c>
      <c r="K15" s="8" t="s">
        <v>46</v>
      </c>
      <c r="L15" s="8">
        <v>55.35</v>
      </c>
      <c r="N15" s="2" t="s">
        <v>47</v>
      </c>
      <c r="O15" s="1"/>
      <c r="P15" s="1"/>
    </row>
    <row r="16" spans="1:16" x14ac:dyDescent="0.35">
      <c r="F16" s="4">
        <v>45838</v>
      </c>
      <c r="G16" s="3" t="s">
        <v>18</v>
      </c>
      <c r="H16" s="3">
        <v>50</v>
      </c>
      <c r="J16" s="13">
        <v>45762</v>
      </c>
      <c r="K16" s="8" t="s">
        <v>48</v>
      </c>
      <c r="L16" s="8">
        <v>24.2</v>
      </c>
      <c r="N16" s="12" t="s">
        <v>10</v>
      </c>
      <c r="O16" s="12" t="s">
        <v>11</v>
      </c>
      <c r="P16" s="12" t="s">
        <v>12</v>
      </c>
    </row>
    <row r="17" spans="6:16" x14ac:dyDescent="0.35">
      <c r="F17" s="4">
        <v>45838</v>
      </c>
      <c r="G17" s="3" t="s">
        <v>39</v>
      </c>
      <c r="H17" s="3">
        <v>174.94</v>
      </c>
      <c r="J17" s="11"/>
      <c r="K17" s="11"/>
      <c r="L17" s="11"/>
      <c r="N17" s="4">
        <v>45920</v>
      </c>
      <c r="O17" s="3" t="s">
        <v>49</v>
      </c>
      <c r="P17" s="3">
        <v>836</v>
      </c>
    </row>
    <row r="18" spans="6:16" x14ac:dyDescent="0.35">
      <c r="F18" s="4"/>
      <c r="G18" s="3"/>
      <c r="H18" s="3"/>
      <c r="J18" s="6" t="s">
        <v>50</v>
      </c>
      <c r="K18" s="5"/>
      <c r="L18" s="5"/>
      <c r="N18" s="3"/>
      <c r="O18" s="3"/>
      <c r="P18" s="3"/>
    </row>
    <row r="19" spans="6:16" x14ac:dyDescent="0.35">
      <c r="F19" s="4"/>
      <c r="G19" s="3"/>
      <c r="H19" s="3"/>
      <c r="J19" s="15" t="s">
        <v>10</v>
      </c>
      <c r="K19" s="15" t="s">
        <v>11</v>
      </c>
      <c r="L19" s="15" t="s">
        <v>12</v>
      </c>
    </row>
    <row r="20" spans="6:16" x14ac:dyDescent="0.35">
      <c r="F20" s="4"/>
      <c r="G20" s="3"/>
      <c r="H20" s="3"/>
      <c r="J20" s="13">
        <v>45778</v>
      </c>
      <c r="K20" s="8" t="s">
        <v>26</v>
      </c>
      <c r="L20" s="8">
        <v>2400</v>
      </c>
      <c r="N20" s="2" t="s">
        <v>36</v>
      </c>
      <c r="O20" s="1"/>
      <c r="P20" s="1"/>
    </row>
    <row r="21" spans="6:16" x14ac:dyDescent="0.35">
      <c r="F21" s="4"/>
      <c r="G21" s="3"/>
      <c r="H21" s="3"/>
      <c r="J21" s="8"/>
      <c r="K21" s="8"/>
      <c r="L21" s="8"/>
      <c r="N21" s="12" t="s">
        <v>10</v>
      </c>
      <c r="O21" s="12" t="s">
        <v>11</v>
      </c>
      <c r="P21" s="12" t="s">
        <v>12</v>
      </c>
    </row>
    <row r="22" spans="6:16" x14ac:dyDescent="0.35">
      <c r="J22" s="11"/>
      <c r="K22" s="11"/>
      <c r="L22" s="11"/>
      <c r="N22" s="3"/>
      <c r="O22" s="3"/>
      <c r="P22" s="3"/>
    </row>
    <row r="23" spans="6:16" x14ac:dyDescent="0.35">
      <c r="J23" s="10" t="s">
        <v>51</v>
      </c>
      <c r="K23" s="5"/>
      <c r="L23" s="5"/>
      <c r="N23" s="3"/>
      <c r="O23" s="3"/>
      <c r="P23" s="3"/>
    </row>
    <row r="24" spans="6:16" x14ac:dyDescent="0.35">
      <c r="F24" s="2" t="s">
        <v>52</v>
      </c>
      <c r="G24" s="1"/>
      <c r="H24" s="1"/>
      <c r="J24" s="14" t="s">
        <v>10</v>
      </c>
      <c r="K24" s="15" t="s">
        <v>11</v>
      </c>
      <c r="L24" s="15" t="s">
        <v>12</v>
      </c>
    </row>
    <row r="25" spans="6:16" x14ac:dyDescent="0.35">
      <c r="F25" s="12" t="s">
        <v>10</v>
      </c>
      <c r="G25" s="12" t="s">
        <v>11</v>
      </c>
      <c r="H25" s="12" t="s">
        <v>12</v>
      </c>
      <c r="J25" s="7">
        <v>45759</v>
      </c>
      <c r="K25" s="8" t="s">
        <v>53</v>
      </c>
      <c r="L25" s="8">
        <v>4256</v>
      </c>
    </row>
    <row r="26" spans="6:16" x14ac:dyDescent="0.35">
      <c r="F26" s="4">
        <v>45758</v>
      </c>
      <c r="G26" s="3" t="s">
        <v>54</v>
      </c>
      <c r="H26" s="3">
        <v>430</v>
      </c>
      <c r="J26" s="7">
        <v>45759</v>
      </c>
      <c r="K26" s="8" t="s">
        <v>55</v>
      </c>
      <c r="L26" s="8">
        <v>175.6</v>
      </c>
    </row>
    <row r="27" spans="6:16" x14ac:dyDescent="0.35">
      <c r="F27" s="4">
        <v>45759</v>
      </c>
      <c r="G27" s="3" t="s">
        <v>56</v>
      </c>
      <c r="H27" s="3">
        <v>30</v>
      </c>
      <c r="J27" s="7">
        <v>45759</v>
      </c>
      <c r="K27" s="8" t="s">
        <v>57</v>
      </c>
      <c r="L27" s="8">
        <v>129</v>
      </c>
    </row>
    <row r="28" spans="6:16" x14ac:dyDescent="0.35">
      <c r="F28" s="4">
        <v>45759</v>
      </c>
      <c r="G28" s="3" t="s">
        <v>58</v>
      </c>
      <c r="H28" s="3">
        <v>223.41</v>
      </c>
      <c r="J28" s="7">
        <v>45759</v>
      </c>
      <c r="K28" s="8" t="s">
        <v>59</v>
      </c>
      <c r="L28" s="8">
        <v>698.68</v>
      </c>
    </row>
    <row r="29" spans="6:16" x14ac:dyDescent="0.35">
      <c r="F29" s="4">
        <v>45759</v>
      </c>
      <c r="G29" s="3" t="s">
        <v>60</v>
      </c>
      <c r="H29" s="3">
        <v>576</v>
      </c>
      <c r="J29" s="7">
        <v>45759</v>
      </c>
      <c r="K29" s="8" t="s">
        <v>61</v>
      </c>
      <c r="L29" s="8">
        <v>139.9</v>
      </c>
    </row>
    <row r="30" spans="6:16" x14ac:dyDescent="0.35">
      <c r="F30" s="3"/>
      <c r="G30" s="3"/>
      <c r="H30" s="3"/>
      <c r="J30" s="7">
        <v>45759</v>
      </c>
      <c r="K30" s="8" t="s">
        <v>62</v>
      </c>
      <c r="L30" s="8">
        <v>329</v>
      </c>
    </row>
    <row r="31" spans="6:16" x14ac:dyDescent="0.35">
      <c r="J31" s="11"/>
      <c r="K31" s="11"/>
      <c r="L31" s="11"/>
    </row>
    <row r="32" spans="6:16" x14ac:dyDescent="0.35">
      <c r="J32" s="6" t="s">
        <v>38</v>
      </c>
      <c r="K32" s="5"/>
      <c r="L32" s="5"/>
    </row>
    <row r="33" spans="10:12" x14ac:dyDescent="0.35">
      <c r="J33" s="15" t="s">
        <v>10</v>
      </c>
      <c r="K33" s="15" t="s">
        <v>11</v>
      </c>
      <c r="L33" s="15" t="s">
        <v>12</v>
      </c>
    </row>
    <row r="34" spans="10:12" x14ac:dyDescent="0.35">
      <c r="J34" s="8"/>
      <c r="K34" s="8"/>
      <c r="L34" s="8"/>
    </row>
    <row r="42" spans="10:12" x14ac:dyDescent="0.35">
      <c r="K42" s="1" t="s">
        <v>63</v>
      </c>
    </row>
    <row r="43" spans="10:12" ht="39" customHeight="1" x14ac:dyDescent="0.35"/>
    <row r="85" spans="11:11" x14ac:dyDescent="0.35">
      <c r="K85" s="1" t="s">
        <v>64</v>
      </c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3AAD-BFF9-488F-AFFD-220BE969B74E}">
  <sheetPr>
    <outlinePr summaryBelow="0" summaryRight="0"/>
  </sheetPr>
  <dimension ref="A1:A4"/>
  <sheetViews>
    <sheetView workbookViewId="0"/>
  </sheetViews>
  <sheetFormatPr defaultColWidth="14" defaultRowHeight="12.75" x14ac:dyDescent="0.35"/>
  <cols>
    <col min="1" max="1" width="54" customWidth="1"/>
  </cols>
  <sheetData>
    <row r="1" spans="1:1" x14ac:dyDescent="0.35">
      <c r="A1" t="s">
        <v>65</v>
      </c>
    </row>
    <row r="2" spans="1:1" x14ac:dyDescent="0.35">
      <c r="A2" s="16" t="s">
        <v>66</v>
      </c>
    </row>
    <row r="3" spans="1:1" x14ac:dyDescent="0.35">
      <c r="A3" s="16" t="s">
        <v>67</v>
      </c>
    </row>
    <row r="4" spans="1:1" x14ac:dyDescent="0.35">
      <c r="A4" s="16" t="s">
        <v>68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费用清单</vt:lpstr>
      <vt:lpstr>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 li</cp:lastModifiedBy>
  <dcterms:modified xsi:type="dcterms:W3CDTF">2025-11-24T14:20:20Z</dcterms:modified>
</cp:coreProperties>
</file>