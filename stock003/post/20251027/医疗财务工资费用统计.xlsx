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费用清单" sheetId="2" r:id="rId5"/>
    <sheet name="标准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<sst xmlns="http://schemas.openxmlformats.org/spreadsheetml/2006/main" count="1" uniqueCount="1">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</sst>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yyyy/m/d"/>
    <numFmt numFmtId="165" formatCode="yyyy年m月"/>
    <numFmt numFmtId="166" formatCode="yyyy年m月"/>
    <numFmt numFmtId="167" formatCode="yyyy/m/d"/>
    <numFmt numFmtId="168" formatCode="yyyy/m/d"/>
    <numFmt numFmtId="169" formatCode="yyyy/m/d"/>
  </numFmts>
  <fonts count="5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7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true" applyProtection="false" borderId="3" fillId="0" fontId="2" numFmtId="164" xfId="0">
      <alignment vertical="center"/>
    </xf>
    <xf applyAlignment="true" applyBorder="false" applyFill="false" applyFont="true" applyNumberFormat="true" applyProtection="false" borderId="4" fillId="0" fontId="2" numFmtId="165" xfId="0">
      <alignment vertical="center"/>
    </xf>
    <xf applyAlignment="true" applyBorder="false" applyFill="false" applyFont="true" applyNumberFormat="false" applyProtection="false" borderId="5" fillId="0" fontId="3" numFmtId="0" xfId="0">
      <alignment vertical="center"/>
    </xf>
    <xf applyAlignment="true" applyBorder="false" applyFill="false" applyFont="true" applyNumberFormat="true" applyProtection="false" borderId="6" fillId="0" fontId="1" numFmtId="166" xfId="0">
      <alignment vertical="center"/>
    </xf>
    <xf applyAlignment="true" applyBorder="false" applyFill="false" applyFont="true" applyNumberFormat="false" applyProtection="false" borderId="7" fillId="0" fontId="3" numFmtId="0" xfId="0">
      <alignment vertical="center"/>
    </xf>
    <xf applyAlignment="true" applyBorder="false" applyFill="false" applyFont="true" applyNumberFormat="true" applyProtection="false" borderId="8" fillId="0" fontId="4" numFmtId="167" xfId="0">
      <alignment vertical="center"/>
    </xf>
    <xf applyAlignment="true" applyBorder="false" applyFill="false" applyFont="true" applyNumberFormat="false" applyProtection="false" borderId="9" fillId="0" fontId="4" numFmtId="0" xfId="0">
      <alignment vertical="center"/>
    </xf>
    <xf applyAlignment="true" applyBorder="false" applyFill="false" applyFont="true" applyNumberFormat="false" applyProtection="false" borderId="10" fillId="0" fontId="1" numFmtId="0" xfId="0">
      <alignment vertical="center"/>
    </xf>
    <xf applyAlignment="true" applyBorder="false" applyFill="false" applyFont="true" applyNumberFormat="false" applyProtection="false" borderId="11" fillId="0" fontId="4" numFmtId="0" xfId="0">
      <alignment vertical="center"/>
    </xf>
    <xf applyAlignment="true" applyBorder="false" applyFill="false" applyFont="true" applyNumberFormat="false" applyProtection="false" borderId="12" fillId="0" fontId="4" numFmtId="0" xfId="0">
      <alignment vertical="center"/>
    </xf>
    <xf applyAlignment="true" applyBorder="false" applyFill="false" applyFont="true" applyNumberFormat="true" applyProtection="false" borderId="13" fillId="0" fontId="1" numFmtId="168" xfId="0">
      <alignment vertical="center"/>
    </xf>
    <xf applyAlignment="true" applyBorder="false" applyFill="false" applyFont="true" applyNumberFormat="false" applyProtection="false" borderId="14" fillId="0" fontId="3" numFmtId="0" xfId="0">
      <alignment vertical="center"/>
    </xf>
    <xf applyAlignment="true" applyBorder="false" applyFill="false" applyFont="true" applyNumberFormat="true" applyProtection="false" borderId="15" fillId="0" fontId="4" numFmtId="169" xfId="0">
      <alignment vertical="center"/>
    </xf>
    <xf applyAlignment="true" applyBorder="false" applyFill="false" applyFont="true" applyNumberFormat="false" applyProtection="false" borderId="16" fillId="0" fontId="2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2" min="2" style="0" width="30"/>
    <col collapsed="false" customWidth="true" hidden="false" max="5" min="5" style="0" width="10"/>
    <col collapsed="false" customWidth="true" hidden="false" max="6" min="6" style="0" width="11"/>
    <col collapsed="false" customWidth="true" hidden="false" max="7" min="7" style="0" width="9"/>
    <col collapsed="false" customWidth="true" hidden="false" max="8" min="8" style="0" width="3"/>
    <col collapsed="false" customWidth="true" hidden="false" max="9" min="9" style="0" width="10"/>
    <col collapsed="false" customWidth="true" hidden="false" max="10" min="10" style="0" width="17"/>
    <col collapsed="false" customWidth="true" hidden="false" max="11" min="11" style="0" width="13"/>
    <col collapsed="false" customWidth="true" hidden="false" max="12" min="12" style="0" width="4"/>
    <col collapsed="false" customWidth="true" hidden="false" max="13" min="13" style="0" width="10"/>
    <col collapsed="false" customWidth="true" hidden="false" max="14" min="14" style="0" width="10"/>
    <col collapsed="false" customWidth="true" hidden="false" max="15" min="15" style="0" width="8"/>
  </cols>
  <sheetData>
    <row r="1">
      <c r="A1" s="14" t="str">
        <v>赔偿项目</v>
      </c>
      <c r="B1" s="14" t="str">
        <v>计算明细</v>
      </c>
      <c r="C1" s="14" t="str">
        <v>金额 (元)</v>
      </c>
    </row>
    <row r="2">
      <c r="A2" s="2" t="str">
        <v>医疗费</v>
      </c>
      <c r="B2" s="2" t="str">
        <v>门诊 + 住院 + 检查 + 药品</v>
      </c>
      <c r="C2" s="2">
        <f>SUM(G4:G17)</f>
      </c>
      <c r="E2" s="7" t="str">
        <v>医疗费-李亮</v>
      </c>
      <c r="F2" s="5"/>
      <c r="G2" s="5"/>
      <c r="I2" s="7" t="str">
        <v>误工费-李亮</v>
      </c>
      <c r="J2" s="5" t="str">
        <v>工资 30200</v>
      </c>
      <c r="K2" s="5"/>
      <c r="M2" s="7" t="str">
        <v>护理费-李亮</v>
      </c>
      <c r="N2" s="5"/>
      <c r="O2" s="5"/>
    </row>
    <row r="3">
      <c r="A3" s="2" t="str">
        <v>误工费</v>
      </c>
      <c r="B3" s="2" t="str">
        <v>工资</v>
      </c>
      <c r="C3" s="2">
        <f>SUM(K4:K7)</f>
      </c>
      <c r="E3" s="14" t="str">
        <v>日期</v>
      </c>
      <c r="F3" s="14" t="str">
        <v>项目</v>
      </c>
      <c r="G3" s="14" t="str">
        <v>费用</v>
      </c>
      <c r="I3" s="14" t="str">
        <v>日期</v>
      </c>
      <c r="J3" s="14" t="str">
        <v>项目</v>
      </c>
      <c r="K3" s="14" t="str">
        <v>费用</v>
      </c>
      <c r="M3" s="14" t="str">
        <v>日期</v>
      </c>
      <c r="N3" s="14" t="str">
        <v>项目</v>
      </c>
      <c r="O3" s="14" t="str">
        <v>费用</v>
      </c>
    </row>
    <row r="4">
      <c r="A4" s="2" t="str">
        <v>护理费</v>
      </c>
      <c r="B4" s="2" t="str" xml:space="preserve">
        <v>19天 </v>
      </c>
      <c r="C4" s="2">
        <f>O4</f>
      </c>
      <c r="E4" s="3">
        <v>45758</v>
      </c>
      <c r="F4" s="2" t="str">
        <v>急诊</v>
      </c>
      <c r="G4" s="2">
        <v>250</v>
      </c>
      <c r="I4" s="4">
        <v>45748</v>
      </c>
      <c r="J4" s="2" t="str">
        <v>住院</v>
      </c>
      <c r="K4" s="2">
        <v>17362.76</v>
      </c>
      <c r="M4" s="3">
        <v>45777</v>
      </c>
      <c r="N4" s="2" t="str">
        <v>护理费</v>
      </c>
      <c r="O4" s="2">
        <v>4430</v>
      </c>
    </row>
    <row r="5">
      <c r="A5" s="2" t="str">
        <v>护理费</v>
      </c>
      <c r="B5" s="2" t="str">
        <v>出院-61天  61*101.5</v>
      </c>
      <c r="C5" s="2">
        <f>O5</f>
      </c>
      <c r="E5" s="3">
        <v>45758</v>
      </c>
      <c r="F5" s="2" t="str">
        <v>门诊</v>
      </c>
      <c r="G5" s="2">
        <v>25</v>
      </c>
      <c r="I5" s="4">
        <v>45778</v>
      </c>
      <c r="J5" s="2" t="str">
        <v>病假条</v>
      </c>
      <c r="K5" s="2">
        <v>27510</v>
      </c>
      <c r="M5" s="4">
        <v>45778</v>
      </c>
      <c r="N5" s="2" t="str">
        <v>护理费-出院</v>
      </c>
      <c r="O5" s="2">
        <v>6191.5</v>
      </c>
    </row>
    <row r="6">
      <c r="A6" s="2" t="str">
        <v>交通费</v>
      </c>
      <c r="B6" s="2" t="str">
        <v>就医及处理事故交通费用</v>
      </c>
      <c r="C6" s="2">
        <f>SUM(K12:K14)</f>
      </c>
      <c r="E6" s="3">
        <v>45758</v>
      </c>
      <c r="F6" s="2" t="str">
        <v>检查</v>
      </c>
      <c r="G6" s="2">
        <v>823.07</v>
      </c>
      <c r="I6" s="4">
        <v>45809</v>
      </c>
      <c r="J6" s="2" t="str">
        <v>病假条</v>
      </c>
      <c r="K6" s="2">
        <v>27510</v>
      </c>
      <c r="M6" s="2"/>
      <c r="N6" s="2"/>
      <c r="O6" s="2"/>
    </row>
    <row r="7">
      <c r="A7" s="2" t="str">
        <v>住院伙食补助</v>
      </c>
      <c r="B7" s="2" t="str">
        <v>100 元 / 天 ×19 天</v>
      </c>
      <c r="C7" s="2">
        <f>O12</f>
      </c>
      <c r="E7" s="3">
        <v>45759</v>
      </c>
      <c r="F7" s="2" t="str">
        <v>检查</v>
      </c>
      <c r="G7" s="2">
        <v>42</v>
      </c>
      <c r="I7" s="4"/>
      <c r="J7" s="2"/>
      <c r="K7" s="2"/>
      <c r="M7" s="2"/>
      <c r="N7" s="2"/>
      <c r="O7" s="2"/>
    </row>
    <row r="8">
      <c r="A8" s="2" t="str">
        <v>营养费</v>
      </c>
      <c r="B8" s="2" t="str">
        <v>30 元 / 天 ×80 天</v>
      </c>
      <c r="C8" s="2">
        <f>K20</f>
      </c>
      <c r="E8" s="3">
        <v>45778</v>
      </c>
      <c r="F8" s="2" t="str">
        <v>住院费用</v>
      </c>
      <c r="G8" s="2">
        <v>11520.13</v>
      </c>
      <c r="I8" s="2"/>
      <c r="J8" s="2"/>
      <c r="K8" s="2"/>
      <c r="M8" s="2"/>
      <c r="N8" s="2"/>
      <c r="O8" s="2"/>
    </row>
    <row r="9">
      <c r="A9" s="2" t="str">
        <v>电瓶车维修费</v>
      </c>
      <c r="B9" s="2" t="str">
        <v>更换配件 + 修复</v>
      </c>
      <c r="C9" s="2">
        <f>O17</f>
      </c>
      <c r="E9" s="3">
        <v>45778</v>
      </c>
      <c r="F9" s="2" t="str">
        <v>其他住院费用</v>
      </c>
      <c r="G9" s="2">
        <v>446</v>
      </c>
    </row>
    <row r="10">
      <c r="A10" s="2" t="str">
        <v>财产损失费用</v>
      </c>
      <c r="B10" s="2" t="str">
        <v>小孩子眼镜+衣物</v>
      </c>
      <c r="C10" s="2">
        <f>SUM(K25:K30)</f>
      </c>
      <c r="E10" s="3">
        <v>45806</v>
      </c>
      <c r="F10" s="2" t="str">
        <v>门诊</v>
      </c>
      <c r="G10" s="2">
        <v>15</v>
      </c>
      <c r="I10" s="7" t="str">
        <v>交通费-李亮</v>
      </c>
      <c r="J10" s="5"/>
      <c r="K10" s="5"/>
      <c r="M10" s="7" t="str">
        <v>住院伙食补助-李亮</v>
      </c>
      <c r="N10" s="5"/>
      <c r="O10" s="5"/>
    </row>
    <row r="11">
      <c r="A11" s="2" t="str">
        <v>伤残鉴定</v>
      </c>
      <c r="B11" s="2" t="str">
        <v>申请法院代为鉴定，对方承担鉴定费用</v>
      </c>
      <c r="C11" s="2"/>
      <c r="E11" s="3">
        <v>45806</v>
      </c>
      <c r="F11" s="2" t="str">
        <v>检查</v>
      </c>
      <c r="G11" s="2">
        <v>90</v>
      </c>
      <c r="I11" s="14" t="str">
        <v>日期</v>
      </c>
      <c r="J11" s="14" t="str">
        <v>项目</v>
      </c>
      <c r="K11" s="14" t="str">
        <v>费用</v>
      </c>
      <c r="M11" s="14" t="str">
        <v>日期</v>
      </c>
      <c r="N11" s="14" t="str">
        <v>项目</v>
      </c>
      <c r="O11" s="14" t="str">
        <v>费用</v>
      </c>
    </row>
    <row r="12">
      <c r="A12" s="2" t="str">
        <v>精神损害抚慰金</v>
      </c>
      <c r="B12" s="2"/>
      <c r="C12" s="2"/>
      <c r="E12" s="3">
        <v>45806</v>
      </c>
      <c r="F12" s="2" t="str">
        <v>医药</v>
      </c>
      <c r="G12" s="2">
        <v>474.5</v>
      </c>
      <c r="I12" s="3">
        <v>45806</v>
      </c>
      <c r="J12" s="2" t="str">
        <v>去医院复查 家人陪同</v>
      </c>
      <c r="K12" s="2">
        <v>60</v>
      </c>
      <c r="M12" s="4">
        <v>45748</v>
      </c>
      <c r="N12" s="2" t="str">
        <v>住院伙食</v>
      </c>
      <c r="O12" s="2">
        <v>1900</v>
      </c>
    </row>
    <row r="13">
      <c r="A13" s="2" t="str">
        <v>家人误工费</v>
      </c>
      <c r="B13" s="2" t="str" xml:space="preserve">
        <v>家人请假陪护 </v>
      </c>
      <c r="C13" s="2"/>
      <c r="E13" s="3">
        <v>45834</v>
      </c>
      <c r="F13" s="2" t="str">
        <v>门诊</v>
      </c>
      <c r="G13" s="2">
        <v>70</v>
      </c>
      <c r="I13" s="3">
        <v>45834</v>
      </c>
      <c r="J13" s="2" t="str">
        <v>去医院复查 家人陪同</v>
      </c>
      <c r="K13" s="2">
        <v>60</v>
      </c>
      <c r="M13" s="2"/>
      <c r="N13" s="2"/>
      <c r="O13" s="2"/>
    </row>
    <row r="14">
      <c r="A14" s="2" t="str">
        <v>总计</v>
      </c>
      <c r="B14" s="2"/>
      <c r="C14" s="2">
        <f>SUM(C2:C13)</f>
      </c>
      <c r="E14" s="3">
        <v>45834</v>
      </c>
      <c r="F14" s="2" t="str">
        <v>检查</v>
      </c>
      <c r="G14" s="2">
        <v>90</v>
      </c>
      <c r="I14" s="3">
        <v>45838</v>
      </c>
      <c r="J14" s="2" t="str">
        <v>去医院复查 家人陪同</v>
      </c>
      <c r="K14" s="2">
        <v>60</v>
      </c>
    </row>
    <row r="15">
      <c r="E15" s="3">
        <v>45834</v>
      </c>
      <c r="F15" s="2" t="str">
        <v>数字影像</v>
      </c>
      <c r="G15" s="2">
        <v>280</v>
      </c>
      <c r="I15" s="6"/>
      <c r="J15" s="1"/>
      <c r="K15" s="1"/>
      <c r="M15" s="7" t="str">
        <v>电瓶车维修或更换-李亮</v>
      </c>
      <c r="N15" s="5"/>
      <c r="O15" s="5"/>
    </row>
    <row r="16">
      <c r="E16" s="3">
        <v>45838</v>
      </c>
      <c r="F16" s="2" t="str">
        <v>门诊</v>
      </c>
      <c r="G16" s="2">
        <v>50</v>
      </c>
      <c r="I16" s="6"/>
      <c r="J16" s="1"/>
      <c r="K16" s="1"/>
      <c r="M16" s="14" t="str">
        <v>日期</v>
      </c>
      <c r="N16" s="14" t="str">
        <v>项目</v>
      </c>
      <c r="O16" s="14" t="str">
        <v>费用</v>
      </c>
    </row>
    <row r="17">
      <c r="E17" s="3">
        <v>45838</v>
      </c>
      <c r="F17" s="2" t="str">
        <v>医药</v>
      </c>
      <c r="G17" s="2">
        <v>174.94</v>
      </c>
      <c r="I17" s="10"/>
      <c r="J17" s="10"/>
      <c r="K17" s="10"/>
      <c r="M17" s="3">
        <v>45920</v>
      </c>
      <c r="N17" s="2" t="str">
        <v>维修</v>
      </c>
      <c r="O17" s="2">
        <v>836</v>
      </c>
    </row>
    <row r="18">
      <c r="E18" s="3"/>
      <c r="F18" s="2"/>
      <c r="G18" s="2"/>
      <c r="I18" s="12" t="str">
        <v>营养费-李亮</v>
      </c>
      <c r="J18" s="9"/>
      <c r="K18" s="9"/>
      <c r="M18" s="2"/>
      <c r="N18" s="2"/>
      <c r="O18" s="2"/>
    </row>
    <row r="19">
      <c r="E19" s="3"/>
      <c r="F19" s="2"/>
      <c r="G19" s="2"/>
      <c r="I19" s="11" t="str">
        <v>日期</v>
      </c>
      <c r="J19" s="11" t="str">
        <v>项目</v>
      </c>
      <c r="K19" s="11" t="str">
        <v>费用</v>
      </c>
    </row>
    <row r="20">
      <c r="E20" s="3"/>
      <c r="F20" s="2"/>
      <c r="G20" s="2"/>
      <c r="I20" s="6">
        <v>45778</v>
      </c>
      <c r="J20" s="1" t="str">
        <v>营养费</v>
      </c>
      <c r="K20" s="1">
        <v>2400</v>
      </c>
      <c r="M20" s="7" t="str">
        <v>伤残鉴定</v>
      </c>
      <c r="N20" s="5"/>
      <c r="O20" s="5"/>
    </row>
    <row r="21">
      <c r="E21" s="3"/>
      <c r="F21" s="2"/>
      <c r="G21" s="2"/>
      <c r="I21" s="1"/>
      <c r="J21" s="1"/>
      <c r="K21" s="1"/>
      <c r="M21" s="14" t="str">
        <v>日期</v>
      </c>
      <c r="N21" s="14" t="str">
        <v>项目</v>
      </c>
      <c r="O21" s="14" t="str">
        <v>费用</v>
      </c>
    </row>
    <row r="22">
      <c r="I22" s="10"/>
      <c r="J22" s="10"/>
      <c r="K22" s="10"/>
      <c r="M22" s="2"/>
      <c r="N22" s="2"/>
      <c r="O22" s="2"/>
    </row>
    <row r="23">
      <c r="I23" s="8" t="str">
        <v>财产损失费</v>
      </c>
      <c r="J23" s="9"/>
      <c r="K23" s="9"/>
      <c r="M23" s="2"/>
      <c r="N23" s="2"/>
      <c r="O23" s="2"/>
    </row>
    <row r="24">
      <c r="E24" s="7" t="str">
        <v>医疗费-李旻翰</v>
      </c>
      <c r="F24" s="5"/>
      <c r="G24" s="5"/>
      <c r="I24" s="15" t="str">
        <v>日期</v>
      </c>
      <c r="J24" s="11" t="str">
        <v>项目</v>
      </c>
      <c r="K24" s="11" t="str">
        <v>费用</v>
      </c>
    </row>
    <row r="25">
      <c r="E25" s="14" t="str">
        <v>日期</v>
      </c>
      <c r="F25" s="14" t="str">
        <v>项目</v>
      </c>
      <c r="G25" s="14" t="str">
        <v>费用</v>
      </c>
      <c r="I25" s="13">
        <v>45759</v>
      </c>
      <c r="J25" s="1" t="str">
        <v>眼镜</v>
      </c>
      <c r="K25" s="1">
        <v>4256</v>
      </c>
    </row>
    <row r="26">
      <c r="E26" s="3">
        <v>45758</v>
      </c>
      <c r="F26" s="2" t="str">
        <v>检查费用</v>
      </c>
      <c r="G26" s="2">
        <v>430</v>
      </c>
      <c r="I26" s="13">
        <v>45759</v>
      </c>
      <c r="J26" s="1" t="str">
        <v>护腰</v>
      </c>
      <c r="K26" s="1">
        <v>175.6</v>
      </c>
    </row>
    <row r="27">
      <c r="E27" s="3">
        <v>45759</v>
      </c>
      <c r="F27" s="2" t="str">
        <v>门诊费</v>
      </c>
      <c r="G27" s="2">
        <v>30</v>
      </c>
      <c r="I27" s="13">
        <v>45759</v>
      </c>
      <c r="J27" s="1" t="str">
        <v>小孩子-裤子</v>
      </c>
      <c r="K27" s="1">
        <v>129</v>
      </c>
    </row>
    <row r="28">
      <c r="E28" s="3">
        <v>45759</v>
      </c>
      <c r="F28" s="2" t="str">
        <v>药</v>
      </c>
      <c r="G28" s="2">
        <v>223.41</v>
      </c>
      <c r="I28" s="13">
        <v>45759</v>
      </c>
      <c r="J28" s="1" t="str">
        <v>大人-外衣</v>
      </c>
      <c r="K28" s="1">
        <v>698.68</v>
      </c>
    </row>
    <row r="29">
      <c r="E29" s="3">
        <v>45759</v>
      </c>
      <c r="F29" s="2" t="str">
        <v>检查费</v>
      </c>
      <c r="G29" s="2">
        <v>576</v>
      </c>
      <c r="I29" s="13">
        <v>45759</v>
      </c>
      <c r="J29" s="1" t="str">
        <v>大人-裤子</v>
      </c>
      <c r="K29" s="1">
        <v>139.9</v>
      </c>
    </row>
    <row r="30">
      <c r="E30" s="2"/>
      <c r="F30" s="2"/>
      <c r="G30" s="2"/>
      <c r="I30" s="13">
        <v>45759</v>
      </c>
      <c r="J30" s="1" t="str">
        <v>小孩子-外衣</v>
      </c>
      <c r="K30" s="1">
        <v>329</v>
      </c>
    </row>
    <row r="31">
      <c r="I31" s="10"/>
      <c r="J31" s="10"/>
      <c r="K31" s="10"/>
    </row>
    <row r="32">
      <c r="I32" s="12" t="str">
        <v>精神损害抚慰金</v>
      </c>
      <c r="J32" s="9"/>
      <c r="K32" s="9"/>
    </row>
    <row r="33">
      <c r="I33" s="11" t="str">
        <v>日期</v>
      </c>
      <c r="J33" s="11" t="str">
        <v>项目</v>
      </c>
      <c r="K33" s="11" t="str">
        <v>费用</v>
      </c>
    </row>
    <row r="34">
      <c r="I34" s="1"/>
      <c r="J34" s="1"/>
      <c r="K34" s="1"/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54"/>
  </cols>
  <sheetData>
    <row r="1">
      <c r="A1" t="str">
        <v>住院伙食补助：100 元 / 天 × 住院天数（法定标准）</v>
      </c>
    </row>
    <row r="2">
      <c r="A2" s="16" t="str">
        <v>营养费：30 元 / 天 × 营养期（需医嘱）</v>
      </c>
    </row>
    <row r="3">
      <c r="A3" s="16" t="str">
        <v>护理费：住院约203 元 / 天，出院约101.5 元 / 天</v>
      </c>
    </row>
    <row r="4">
      <c r="A4" s="16" t="str">
        <v>交通费：同城30 元 / 天 × 就医次数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